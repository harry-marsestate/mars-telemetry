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5) Accounting\AR\2026 Invoice Backup\07. July\Mars\"/>
    </mc:Choice>
  </mc:AlternateContent>
  <xr:revisionPtr revIDLastSave="0" documentId="13_ncr:1_{6EDC4735-5D0F-4A44-93B7-8A4DDB1D3F40}" xr6:coauthVersionLast="47" xr6:coauthVersionMax="47" xr10:uidLastSave="{00000000-0000-0000-0000-000000000000}"/>
  <bookViews>
    <workbookView xWindow="-25320" yWindow="-120" windowWidth="25440" windowHeight="15270" xr2:uid="{63A854BF-5CEB-4CB5-851B-5D99B1B14E81}"/>
  </bookViews>
  <sheets>
    <sheet name="Labor" sheetId="1" r:id="rId1"/>
    <sheet name="Expenses" sheetId="2" r:id="rId2"/>
  </sheets>
  <definedNames>
    <definedName name="_xlnm.Print_Titles" localSheetId="1">Expenses!$A:$C,Expenses!$1:$1</definedName>
    <definedName name="_xlnm.Print_Titles" localSheetId="0">Labor!$A:$C,Labor!$1:$1</definedName>
    <definedName name="QB_COLUMN_16" localSheetId="1" hidden="1">Expenses!$H$1</definedName>
    <definedName name="QB_COLUMN_3" localSheetId="1" hidden="1">Expenses!$D$1</definedName>
    <definedName name="QB_COLUMN_30" localSheetId="1" hidden="1">Expenses!$I$1</definedName>
    <definedName name="QB_COLUMN_32" localSheetId="1" hidden="1">Expenses!$F$1</definedName>
    <definedName name="QB_COLUMN_4" localSheetId="1" hidden="1">Expenses!$E$1</definedName>
    <definedName name="QB_COLUMN_8" localSheetId="1" hidden="1">Expenses!$G$1</definedName>
    <definedName name="QB_DATA_0" localSheetId="1" hidden="1">Expenses!$4:$4,Expenses!$5:$5,Expenses!$6:$6,Expenses!$7:$7,Expenses!$8:$8,Expenses!$9:$9,Expenses!$10:$10,Expenses!$11:$11,Expenses!$14:$14,Expenses!$15:$15,Expenses!$16:$16,Expenses!$17:$17,Expenses!$18:$18,Expenses!$19:$19,Expenses!$20:$20,Expenses!$21:$21</definedName>
    <definedName name="QB_DATA_1" localSheetId="1" hidden="1">Expenses!$22:$22,Expenses!$23:$23,Expenses!$24:$24,Expenses!$25:$25</definedName>
    <definedName name="QB_FORMULA_0" localSheetId="1" hidden="1">Expenses!$I$12,Expenses!$I$26,Expenses!$I$27,Expenses!$I$28</definedName>
    <definedName name="QB_ROW_31301" localSheetId="1" hidden="1">Expenses!$A$28</definedName>
    <definedName name="QB_ROW_7853010" localSheetId="1" hidden="1">Expenses!$B$2</definedName>
    <definedName name="QB_ROW_7853310" localSheetId="1" hidden="1">Expenses!$B$27</definedName>
    <definedName name="QB_ROW_7854020" localSheetId="1" hidden="1">Expenses!$C$13</definedName>
    <definedName name="QB_ROW_7854320" localSheetId="1" hidden="1">Expenses!$C$26</definedName>
    <definedName name="QB_ROW_8247020" localSheetId="1" hidden="1">Expenses!$C$3</definedName>
    <definedName name="QB_ROW_8247320" localSheetId="1" hidden="1">Expenses!$C$12</definedName>
    <definedName name="QBCANSUPPORTUPDATE" localSheetId="1">TRUE</definedName>
    <definedName name="QBCANSUPPORTUPDATE" localSheetId="0">FALSE</definedName>
    <definedName name="QBCOMPANYFILENAME" localSheetId="1">"\\2016-AD\Shared Folders\Accounting\Quickbooks Data\Silverado Farming Company 2019.QBW"</definedName>
    <definedName name="QBCOMPANYFILENAME" localSheetId="0">"O:\Quickbooks Data\Silverado Farming Company PAYROLL.qbw"</definedName>
    <definedName name="QBENDDATE" localSheetId="1">20260731</definedName>
    <definedName name="QBENDDATE" localSheetId="0">20260802</definedName>
    <definedName name="QBHEADERSONSCREEN" localSheetId="1">FALSE</definedName>
    <definedName name="QBHEADERSONSCREEN" localSheetId="0">FALSE</definedName>
    <definedName name="QBMETADATASIZE" localSheetId="1">8464</definedName>
    <definedName name="QBMETADATASIZE" localSheetId="0">0</definedName>
    <definedName name="QBPRESERVECOLOR" localSheetId="1">TRUE</definedName>
    <definedName name="QBPRESERVECOLOR" localSheetId="0">TRUE</definedName>
    <definedName name="QBPRESERVEFONT" localSheetId="1">TRUE</definedName>
    <definedName name="QBPRESERVEFONT" localSheetId="0">TRUE</definedName>
    <definedName name="QBPRESERVEROWHEIGHT" localSheetId="1">TRUE</definedName>
    <definedName name="QBPRESERVEROWHEIGHT" localSheetId="0">TRUE</definedName>
    <definedName name="QBPRESERVESPACE" localSheetId="1">FALSE</definedName>
    <definedName name="QBPRESERVESPACE" localSheetId="0">FALSE</definedName>
    <definedName name="QBREPORTCOLAXIS" localSheetId="1">0</definedName>
    <definedName name="QBREPORTCOLAXIS" localSheetId="0">0</definedName>
    <definedName name="QBREPORTCOMPANYID" localSheetId="1">"2dd02c383a2a4181890cfd047191ba70"</definedName>
    <definedName name="QBREPORTCOMPANYID" localSheetId="0">"9a365c0b9834472f86c499cd689b0f6e"</definedName>
    <definedName name="QBREPORTCOMPARECOL_ANNUALBUDGET" localSheetId="1">FALSE</definedName>
    <definedName name="QBREPORTCOMPARECOL_ANNUALBUDGET" localSheetId="0">FALSE</definedName>
    <definedName name="QBREPORTCOMPARECOL_AVGCOGS" localSheetId="1">FALSE</definedName>
    <definedName name="QBREPORTCOMPARECOL_AVGCOGS" localSheetId="0">FALSE</definedName>
    <definedName name="QBREPORTCOMPARECOL_AVGPRICE" localSheetId="1">FALSE</definedName>
    <definedName name="QBREPORTCOMPARECOL_AVGPRICE" localSheetId="0">FALSE</definedName>
    <definedName name="QBREPORTCOMPARECOL_BUDDIFF" localSheetId="1">FALSE</definedName>
    <definedName name="QBREPORTCOMPARECOL_BUDDIFF" localSheetId="0">FALSE</definedName>
    <definedName name="QBREPORTCOMPARECOL_BUDGET" localSheetId="1">FALSE</definedName>
    <definedName name="QBREPORTCOMPARECOL_BUDGET" localSheetId="0">FALSE</definedName>
    <definedName name="QBREPORTCOMPARECOL_BUDPCT" localSheetId="1">FALSE</definedName>
    <definedName name="QBREPORTCOMPARECOL_BUDPCT" localSheetId="0">FALSE</definedName>
    <definedName name="QBREPORTCOMPARECOL_COGS" localSheetId="1">FALSE</definedName>
    <definedName name="QBREPORTCOMPARECOL_COGS" localSheetId="0">FALSE</definedName>
    <definedName name="QBREPORTCOMPARECOL_EXCLUDEAMOUNT" localSheetId="1">FALSE</definedName>
    <definedName name="QBREPORTCOMPARECOL_EXCLUDEAMOUNT" localSheetId="0">FALSE</definedName>
    <definedName name="QBREPORTCOMPARECOL_EXCLUDECURPERIOD" localSheetId="1">FALSE</definedName>
    <definedName name="QBREPORTCOMPARECOL_EXCLUDECURPERIOD" localSheetId="0">FALSE</definedName>
    <definedName name="QBREPORTCOMPARECOL_FORECAST" localSheetId="1">FALSE</definedName>
    <definedName name="QBREPORTCOMPARECOL_FORECAST" localSheetId="0">FALSE</definedName>
    <definedName name="QBREPORTCOMPARECOL_GROSSMARGIN" localSheetId="1">FALSE</definedName>
    <definedName name="QBREPORTCOMPARECOL_GROSSMARGIN" localSheetId="0">FALSE</definedName>
    <definedName name="QBREPORTCOMPARECOL_GROSSMARGINPCT" localSheetId="1">FALSE</definedName>
    <definedName name="QBREPORTCOMPARECOL_GROSSMARGINPCT" localSheetId="0">FALSE</definedName>
    <definedName name="QBREPORTCOMPARECOL_HOURS" localSheetId="1">FALSE</definedName>
    <definedName name="QBREPORTCOMPARECOL_HOURS" localSheetId="0">FALSE</definedName>
    <definedName name="QBREPORTCOMPARECOL_PCTCOL" localSheetId="1">FALSE</definedName>
    <definedName name="QBREPORTCOMPARECOL_PCTCOL" localSheetId="0">FALSE</definedName>
    <definedName name="QBREPORTCOMPARECOL_PCTEXPENSE" localSheetId="1">FALSE</definedName>
    <definedName name="QBREPORTCOMPARECOL_PCTEXPENSE" localSheetId="0">FALSE</definedName>
    <definedName name="QBREPORTCOMPARECOL_PCTINCOME" localSheetId="1">FALSE</definedName>
    <definedName name="QBREPORTCOMPARECOL_PCTINCOME" localSheetId="0">FALSE</definedName>
    <definedName name="QBREPORTCOMPARECOL_PCTOFSALES" localSheetId="1">FALSE</definedName>
    <definedName name="QBREPORTCOMPARECOL_PCTOFSALES" localSheetId="0">FALSE</definedName>
    <definedName name="QBREPORTCOMPARECOL_PCTROW" localSheetId="1">FALSE</definedName>
    <definedName name="QBREPORTCOMPARECOL_PCTROW" localSheetId="0">FALSE</definedName>
    <definedName name="QBREPORTCOMPARECOL_PPDIFF" localSheetId="1">FALSE</definedName>
    <definedName name="QBREPORTCOMPARECOL_PPDIFF" localSheetId="0">FALSE</definedName>
    <definedName name="QBREPORTCOMPARECOL_PPPCT" localSheetId="1">FALSE</definedName>
    <definedName name="QBREPORTCOMPARECOL_PPPCT" localSheetId="0">FALSE</definedName>
    <definedName name="QBREPORTCOMPARECOL_PREVPERIOD" localSheetId="1">FALSE</definedName>
    <definedName name="QBREPORTCOMPARECOL_PREVPERIOD" localSheetId="0">FALSE</definedName>
    <definedName name="QBREPORTCOMPARECOL_PREVYEAR" localSheetId="1">FALSE</definedName>
    <definedName name="QBREPORTCOMPARECOL_PREVYEAR" localSheetId="0">FALSE</definedName>
    <definedName name="QBREPORTCOMPARECOL_PYDIFF" localSheetId="1">FALSE</definedName>
    <definedName name="QBREPORTCOMPARECOL_PYDIFF" localSheetId="0">FALSE</definedName>
    <definedName name="QBREPORTCOMPARECOL_PYPCT" localSheetId="1">FALSE</definedName>
    <definedName name="QBREPORTCOMPARECOL_PYPCT" localSheetId="0">FALSE</definedName>
    <definedName name="QBREPORTCOMPARECOL_QTY" localSheetId="1">FALSE</definedName>
    <definedName name="QBREPORTCOMPARECOL_QTY" localSheetId="0">FALSE</definedName>
    <definedName name="QBREPORTCOMPARECOL_RATE" localSheetId="1">FALSE</definedName>
    <definedName name="QBREPORTCOMPARECOL_RATE" localSheetId="0">FALSE</definedName>
    <definedName name="QBREPORTCOMPARECOL_TRIPBILLEDMILES" localSheetId="1">FALSE</definedName>
    <definedName name="QBREPORTCOMPARECOL_TRIPBILLEDMILES" localSheetId="0">FALSE</definedName>
    <definedName name="QBREPORTCOMPARECOL_TRIPBILLINGAMOUNT" localSheetId="1">FALSE</definedName>
    <definedName name="QBREPORTCOMPARECOL_TRIPBILLINGAMOUNT" localSheetId="0">FALSE</definedName>
    <definedName name="QBREPORTCOMPARECOL_TRIPMILES" localSheetId="1">FALSE</definedName>
    <definedName name="QBREPORTCOMPARECOL_TRIPMILES" localSheetId="0">FALSE</definedName>
    <definedName name="QBREPORTCOMPARECOL_TRIPNOTBILLABLEMILES" localSheetId="1">FALSE</definedName>
    <definedName name="QBREPORTCOMPARECOL_TRIPNOTBILLABLEMILES" localSheetId="0">FALSE</definedName>
    <definedName name="QBREPORTCOMPARECOL_TRIPTAXDEDUCTIBLEAMOUNT" localSheetId="1">FALSE</definedName>
    <definedName name="QBREPORTCOMPARECOL_TRIPTAXDEDUCTIBLEAMOUNT" localSheetId="0">FALSE</definedName>
    <definedName name="QBREPORTCOMPARECOL_TRIPUNBILLEDMILES" localSheetId="1">FALSE</definedName>
    <definedName name="QBREPORTCOMPARECOL_TRIPUNBILLEDMILES" localSheetId="0">FALSE</definedName>
    <definedName name="QBREPORTCOMPARECOL_YTD" localSheetId="1">FALSE</definedName>
    <definedName name="QBREPORTCOMPARECOL_YTD" localSheetId="0">FALSE</definedName>
    <definedName name="QBREPORTCOMPARECOL_YTDBUDGET" localSheetId="1">FALSE</definedName>
    <definedName name="QBREPORTCOMPARECOL_YTDBUDGET" localSheetId="0">FALSE</definedName>
    <definedName name="QBREPORTCOMPARECOL_YTDPCT" localSheetId="1">FALSE</definedName>
    <definedName name="QBREPORTCOMPARECOL_YTDPCT" localSheetId="0">FALSE</definedName>
    <definedName name="QBREPORTROWAXIS" localSheetId="1">13</definedName>
    <definedName name="QBREPORTROWAXIS" localSheetId="0">93</definedName>
    <definedName name="QBREPORTSUBCOLAXIS" localSheetId="1">0</definedName>
    <definedName name="QBREPORTSUBCOLAXIS" localSheetId="0">0</definedName>
    <definedName name="QBREPORTTYPE" localSheetId="1">237</definedName>
    <definedName name="QBREPORTTYPE" localSheetId="0">121</definedName>
    <definedName name="QBROWHEADERS" localSheetId="1">3</definedName>
    <definedName name="QBROWHEADERS" localSheetId="0">3</definedName>
    <definedName name="QBSTARTDATE" localSheetId="1">20260701</definedName>
    <definedName name="QBSTARTDATE" localSheetId="0">20260629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2" l="1"/>
  <c r="I26" i="2"/>
  <c r="F2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5" i="1"/>
  <c r="F37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8" i="1"/>
  <c r="F66" i="1"/>
  <c r="F67" i="1"/>
  <c r="F69" i="1"/>
  <c r="F70" i="1"/>
  <c r="F4" i="1"/>
  <c r="D71" i="1"/>
  <c r="D38" i="1"/>
  <c r="I27" i="2" l="1"/>
  <c r="I28" i="2" s="1"/>
  <c r="D72" i="1"/>
  <c r="F38" i="1"/>
  <c r="F71" i="1"/>
  <c r="F72" i="1" l="1"/>
</calcChain>
</file>

<file path=xl/sharedStrings.xml><?xml version="1.0" encoding="utf-8"?>
<sst xmlns="http://schemas.openxmlformats.org/spreadsheetml/2006/main" count="169" uniqueCount="104">
  <si>
    <t xml:space="preserve"> </t>
  </si>
  <si>
    <t>Mars Estates Inc.:Mars Development</t>
  </si>
  <si>
    <t>Animals:091 Animals:091.00 General Labor</t>
  </si>
  <si>
    <t>Animals:091 Animals:091.19 Site Manager</t>
  </si>
  <si>
    <t>Animals:091 Animals:091.20 Operations Manager</t>
  </si>
  <si>
    <t>Canopy Management:026 Shoot Positioning:026.19 Site Manager</t>
  </si>
  <si>
    <t>Canopy Management:028 Tuck Shoots &amp; Wire movement:028.00 General Labor</t>
  </si>
  <si>
    <t>Canopy Management:028 Tuck Shoots &amp; Wire movement:028.03 Crew Leader</t>
  </si>
  <si>
    <t>Canopy Management:028 Tuck Shoots &amp; Wire movement:028.19 Site Manager</t>
  </si>
  <si>
    <t>Canopy Management:028 Tuck Shoots &amp; Wire movement:028.20 Operations Manager</t>
  </si>
  <si>
    <t>Canopy Management:029 Hedging:029.00 General Labor</t>
  </si>
  <si>
    <t>Canopy Management:029 Hedging:029.19 Site Manager</t>
  </si>
  <si>
    <t>Canopy Management:029 Hedging:029.20 Operations Manager</t>
  </si>
  <si>
    <t>Crop Thinning:031 Green Drop:031.00 General Labor</t>
  </si>
  <si>
    <t>Crop Thinning:031 Green Drop:031.19 Site Manager</t>
  </si>
  <si>
    <t>Crop Thinning:031 Green Drop:031.20 Operations Manager</t>
  </si>
  <si>
    <t>Disease Control:080 Disease Control:080.15 Clients Equipment</t>
  </si>
  <si>
    <t>Disease Control:080 Disease Control:080.16 Viticulturist</t>
  </si>
  <si>
    <t>Disease Control:080 Disease Control:080.18 Senior Viticulturist</t>
  </si>
  <si>
    <t>Disease Control:080 Disease Control:080.19 Site Manager</t>
  </si>
  <si>
    <t>Disease Control:081 Disease Monitoring:081.17 Vit Tech</t>
  </si>
  <si>
    <t>Fertilize:095 Fertilize and Compost:095.00 General Labor</t>
  </si>
  <si>
    <t>Fertilize:095 Fertilize and Compost:095.18 Senior Viticulturist</t>
  </si>
  <si>
    <t>Irrigation:071 Irrigation Repair:071.00 General Labor</t>
  </si>
  <si>
    <t>Irrigation:073 Irrigation:073.00 General Labor</t>
  </si>
  <si>
    <t>Irrigation:073 Irrigation:073.19 Site Manager</t>
  </si>
  <si>
    <t>Irrigation:076 Irrigation Injection:076.00 General Labor</t>
  </si>
  <si>
    <t>Land Preparation:150 Trash Cleanup:150.00 General Labor</t>
  </si>
  <si>
    <t>Sucker &amp; Train:042 Resuckering:042.00 General Labor</t>
  </si>
  <si>
    <t>Sucker &amp; Train:042 Resuckering:042.03 Crew Leader</t>
  </si>
  <si>
    <t>Sucker &amp; Train:042 Resuckering:042.19 Site Manager</t>
  </si>
  <si>
    <t>Sucker &amp; Train:042 Resuckering:042.20 Operations Manager</t>
  </si>
  <si>
    <t>Weed Control:065 Middle Weed Control:065.04 Weedeater/Hedger</t>
  </si>
  <si>
    <t>Weed Control:065 Middle Weed Control:065.19 Site Manager</t>
  </si>
  <si>
    <t>Total Mars Estates Inc.:Mars Development</t>
  </si>
  <si>
    <t>Mars Estates Inc.:Mars Farming</t>
  </si>
  <si>
    <t>Canopy Management:027 Leaf/Lateral Removal:027.19 Site Manager</t>
  </si>
  <si>
    <t>Canopy Management:029 Hedging:029.03 Crew Leader</t>
  </si>
  <si>
    <t>Disease Control:080 Disease Control:080.08 Equipment Moves</t>
  </si>
  <si>
    <t>Disease Control:080 Disease Control:080.17 Vit Tech</t>
  </si>
  <si>
    <t>Disease Control:080 Disease Control:080.20 Operations Manager</t>
  </si>
  <si>
    <t>Disease Control:081 Disease Monitoring:081.00 General Labor</t>
  </si>
  <si>
    <t>Disease Control:081 Disease Monitoring:081.18 Senior Viticulturist</t>
  </si>
  <si>
    <t>Erosion Control:101 Winter Cover Crop:101.18 Senior Viticulturist</t>
  </si>
  <si>
    <t>Fertilize:097 Fertility Monitoring:097.00 General Labor</t>
  </si>
  <si>
    <t>Harvest:121 Crop Estimate:121.00 General Labor</t>
  </si>
  <si>
    <t>Land Preparation:150 Trash Cleanup:150.19 Site Manager</t>
  </si>
  <si>
    <t>Weed Control:065 Middle Weed Control:065.08 Equipment Moves</t>
  </si>
  <si>
    <t>Weed Control:065 Middle Weed Control:065.20 Operations Manager</t>
  </si>
  <si>
    <t>Wire &amp; Trellis:050 Trellis Repair:050.00 General Labor</t>
  </si>
  <si>
    <t>Total Mars Estates Inc.:Mars Farming</t>
  </si>
  <si>
    <t>TOTAL</t>
  </si>
  <si>
    <t>Activity</t>
  </si>
  <si>
    <t>Duration</t>
  </si>
  <si>
    <t>Rate</t>
  </si>
  <si>
    <t>Total</t>
  </si>
  <si>
    <t>Notes</t>
  </si>
  <si>
    <t>Weed Control:065 Middle Weed Control:065.15 Clients Equipment</t>
  </si>
  <si>
    <t>Total Mars Estates Inc.</t>
  </si>
  <si>
    <t>Total Mars Farming</t>
  </si>
  <si>
    <t>6120 · Toilet, Other</t>
  </si>
  <si>
    <t>July  Bathrooms</t>
  </si>
  <si>
    <t>Harvest Sanitation, Inc.</t>
  </si>
  <si>
    <t>Bill</t>
  </si>
  <si>
    <t>6114 · Disease Control</t>
  </si>
  <si>
    <t>Coveralls, Masks, Gloves - for Disease Control</t>
  </si>
  <si>
    <t>Napa Glove and Safety, Inc.</t>
  </si>
  <si>
    <t>Oxidate,Probald,Sulfur,Problad,Sonata</t>
  </si>
  <si>
    <t>Wilbur-Ellis Company</t>
  </si>
  <si>
    <t>6016 · Fertilize</t>
  </si>
  <si>
    <t>A&amp;L Labs West - Brenna Quigley Soil Testing Project - expedited delivery (59%)</t>
  </si>
  <si>
    <t>Matrix Sciences International Inc.</t>
  </si>
  <si>
    <t>Credit Card Charge</t>
  </si>
  <si>
    <t>Lab Analyses- Petiole Samples on 5/31</t>
  </si>
  <si>
    <t>Integrated Winegrowing LLC</t>
  </si>
  <si>
    <t>6014 · Disease Control</t>
  </si>
  <si>
    <t>GPM assay: Detection and quantification powdery mildew spores by qPCR (2)</t>
  </si>
  <si>
    <t>AL&amp;L Crop Solutions, Inc</t>
  </si>
  <si>
    <t>Shipping for Lab Samples 7/23</t>
  </si>
  <si>
    <t>FedExOffice</t>
  </si>
  <si>
    <t>Shipping for Lab Samples 7/16</t>
  </si>
  <si>
    <t>Shipping for Lab Samples 7/10</t>
  </si>
  <si>
    <t>Shipping for Lab Samples 7/2</t>
  </si>
  <si>
    <t>6012 · Irrigation</t>
  </si>
  <si>
    <t>PureVine™ Vigor Pro - 1 Flight (2nd 50% payment)</t>
  </si>
  <si>
    <t>Scientific Aerial Imaging, Inc.</t>
  </si>
  <si>
    <t>Mars Farming</t>
  </si>
  <si>
    <t>Total Mars Development</t>
  </si>
  <si>
    <t>6116 · Fertilize</t>
  </si>
  <si>
    <t>Terralux 7-0-0</t>
  </si>
  <si>
    <t>Coveralls, Masks, Gloves - for Fertilizing</t>
  </si>
  <si>
    <t>Oxidate,Sonata,Probald,Problad,Serenade</t>
  </si>
  <si>
    <t>A&amp;L Labs West - Brenna Quigley Soil Testing Project - expedited delivery (41%)</t>
  </si>
  <si>
    <t>Brenna Quigley Soil testing project: shipping</t>
  </si>
  <si>
    <t>Carton and Crates</t>
  </si>
  <si>
    <t>Soil Sample shipping to A&amp;L Labs</t>
  </si>
  <si>
    <t>Mars Development</t>
  </si>
  <si>
    <t>Mars Estates Inc.</t>
  </si>
  <si>
    <t>Amount</t>
  </si>
  <si>
    <t>Account</t>
  </si>
  <si>
    <t>Memo</t>
  </si>
  <si>
    <t>Source Name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</si>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</sst>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;\-#,##0.00"/>
    <numFmt numFmtId="165" formatCode="mm/dd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9" fontId="2" fillId="0" borderId="0" xfId="0" applyNumberFormat="1" applyFont="1"/>
    <xf numFmtId="164" fontId="3" fillId="0" borderId="0" xfId="0" applyNumberFormat="1" applyFont="1"/>
    <xf numFmtId="164" fontId="3" fillId="0" borderId="2" xfId="0" applyNumberFormat="1" applyFont="1" applyBorder="1"/>
    <xf numFmtId="164" fontId="3" fillId="0" borderId="4" xfId="0" applyNumberFormat="1" applyFont="1" applyBorder="1"/>
    <xf numFmtId="164" fontId="2" fillId="0" borderId="3" xfId="0" applyNumberFormat="1" applyFont="1" applyBorder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0" xfId="0" applyNumberFormat="1" applyFont="1"/>
    <xf numFmtId="165" fontId="4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49" fontId="4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4" fontId="4" fillId="0" borderId="1" xfId="1" applyFont="1" applyBorder="1" applyAlignment="1">
      <alignment horizontal="center"/>
    </xf>
    <xf numFmtId="44" fontId="4" fillId="0" borderId="0" xfId="1" applyFont="1"/>
    <xf numFmtId="44" fontId="5" fillId="0" borderId="0" xfId="1" applyFont="1"/>
    <xf numFmtId="44" fontId="5" fillId="0" borderId="2" xfId="1" applyFont="1" applyBorder="1"/>
    <xf numFmtId="44" fontId="5" fillId="0" borderId="4" xfId="1" applyFont="1" applyBorder="1"/>
    <xf numFmtId="44" fontId="4" fillId="0" borderId="3" xfId="1" applyFont="1" applyBorder="1"/>
    <xf numFmtId="44" fontId="0" fillId="0" borderId="0" xfId="1" applyFont="1"/>
    <xf numFmtId="44" fontId="2" fillId="0" borderId="1" xfId="1" applyFont="1" applyBorder="1" applyAlignment="1">
      <alignment horizontal="center"/>
    </xf>
    <xf numFmtId="44" fontId="3" fillId="0" borderId="0" xfId="1" applyFont="1"/>
    <xf numFmtId="44" fontId="3" fillId="0" borderId="2" xfId="1" applyFont="1" applyBorder="1"/>
    <xf numFmtId="44" fontId="3" fillId="0" borderId="4" xfId="1" applyFont="1" applyBorder="1"/>
    <xf numFmtId="44" fontId="2" fillId="0" borderId="3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624B-83BC-46B3-A27B-AE5D2AB50ACB}">
  <dimension ref="A1:G73"/>
  <sheetViews>
    <sheetView tabSelected="1" workbookViewId="0">
      <selection activeCell="E10" sqref="E10"/>
    </sheetView>
  </sheetViews>
  <sheetFormatPr defaultRowHeight="14.4" x14ac:dyDescent="0.3"/>
  <cols>
    <col min="1" max="2" width="3" style="6" customWidth="1"/>
    <col min="3" max="3" width="67.109375" style="6" bestFit="1" customWidth="1"/>
    <col min="4" max="4" width="13.21875" bestFit="1" customWidth="1"/>
    <col min="6" max="6" width="13.21875" style="25" bestFit="1" customWidth="1"/>
  </cols>
  <sheetData>
    <row r="1" spans="1:7" s="8" customFormat="1" ht="15" thickBot="1" x14ac:dyDescent="0.35">
      <c r="A1" s="7"/>
      <c r="B1" s="7"/>
      <c r="C1" s="9" t="s">
        <v>52</v>
      </c>
      <c r="D1" s="9" t="s">
        <v>53</v>
      </c>
      <c r="E1" s="9" t="s">
        <v>54</v>
      </c>
      <c r="F1" s="26" t="s">
        <v>55</v>
      </c>
      <c r="G1" s="10" t="s">
        <v>56</v>
      </c>
    </row>
    <row r="2" spans="1:7" ht="15" thickTop="1" x14ac:dyDescent="0.3">
      <c r="A2" s="1" t="s">
        <v>0</v>
      </c>
      <c r="B2" s="1"/>
      <c r="C2" s="1"/>
      <c r="D2" s="2"/>
      <c r="F2" s="27"/>
    </row>
    <row r="3" spans="1:7" x14ac:dyDescent="0.3">
      <c r="A3" s="1"/>
      <c r="B3" s="1" t="s">
        <v>1</v>
      </c>
      <c r="C3" s="1"/>
      <c r="D3" s="2"/>
      <c r="F3" s="27"/>
    </row>
    <row r="4" spans="1:7" x14ac:dyDescent="0.3">
      <c r="A4" s="1"/>
      <c r="B4" s="1"/>
      <c r="C4" s="1" t="s">
        <v>2</v>
      </c>
      <c r="D4" s="2">
        <v>73.25</v>
      </c>
      <c r="E4" s="2">
        <v>39.75</v>
      </c>
      <c r="F4" s="27">
        <f>ROUND(IFERROR((D4*E4),""),2)</f>
        <v>2911.69</v>
      </c>
    </row>
    <row r="5" spans="1:7" x14ac:dyDescent="0.3">
      <c r="A5" s="1"/>
      <c r="B5" s="1"/>
      <c r="C5" s="1" t="s">
        <v>3</v>
      </c>
      <c r="D5" s="2">
        <v>2</v>
      </c>
      <c r="E5" s="2">
        <v>77.75</v>
      </c>
      <c r="F5" s="27">
        <f t="shared" ref="F5:F65" si="0">ROUND(IFERROR((D5*E5),""),2)</f>
        <v>155.5</v>
      </c>
    </row>
    <row r="6" spans="1:7" x14ac:dyDescent="0.3">
      <c r="A6" s="1"/>
      <c r="B6" s="1"/>
      <c r="C6" s="1" t="s">
        <v>4</v>
      </c>
      <c r="D6" s="2">
        <v>1.25</v>
      </c>
      <c r="E6" s="2">
        <v>127.75</v>
      </c>
      <c r="F6" s="27">
        <f t="shared" si="0"/>
        <v>159.69</v>
      </c>
    </row>
    <row r="7" spans="1:7" x14ac:dyDescent="0.3">
      <c r="A7" s="1"/>
      <c r="B7" s="1"/>
      <c r="C7" s="1" t="s">
        <v>5</v>
      </c>
      <c r="D7" s="2">
        <v>3.5</v>
      </c>
      <c r="E7" s="2">
        <v>79.75</v>
      </c>
      <c r="F7" s="27">
        <f t="shared" si="0"/>
        <v>279.13</v>
      </c>
    </row>
    <row r="8" spans="1:7" x14ac:dyDescent="0.3">
      <c r="A8" s="1"/>
      <c r="B8" s="1"/>
      <c r="C8" s="1" t="s">
        <v>6</v>
      </c>
      <c r="D8" s="2">
        <v>178.5</v>
      </c>
      <c r="E8" s="2">
        <v>41.75</v>
      </c>
      <c r="F8" s="27">
        <f t="shared" si="0"/>
        <v>7452.38</v>
      </c>
    </row>
    <row r="9" spans="1:7" x14ac:dyDescent="0.3">
      <c r="A9" s="1"/>
      <c r="B9" s="1"/>
      <c r="C9" s="1" t="s">
        <v>7</v>
      </c>
      <c r="D9" s="2">
        <v>5</v>
      </c>
      <c r="E9" s="2">
        <v>54.75</v>
      </c>
      <c r="F9" s="27">
        <f t="shared" si="0"/>
        <v>273.75</v>
      </c>
    </row>
    <row r="10" spans="1:7" x14ac:dyDescent="0.3">
      <c r="A10" s="1"/>
      <c r="B10" s="1"/>
      <c r="C10" s="1" t="s">
        <v>8</v>
      </c>
      <c r="D10" s="2">
        <v>23.75</v>
      </c>
      <c r="E10" s="2">
        <v>79.75</v>
      </c>
      <c r="F10" s="27">
        <f t="shared" si="0"/>
        <v>1894.06</v>
      </c>
    </row>
    <row r="11" spans="1:7" x14ac:dyDescent="0.3">
      <c r="A11" s="1"/>
      <c r="B11" s="1"/>
      <c r="C11" s="1" t="s">
        <v>9</v>
      </c>
      <c r="D11" s="2">
        <v>3.5</v>
      </c>
      <c r="E11" s="2">
        <v>127.75</v>
      </c>
      <c r="F11" s="27">
        <f t="shared" si="0"/>
        <v>447.13</v>
      </c>
    </row>
    <row r="12" spans="1:7" x14ac:dyDescent="0.3">
      <c r="A12" s="1"/>
      <c r="B12" s="1"/>
      <c r="C12" s="1" t="s">
        <v>10</v>
      </c>
      <c r="D12" s="2">
        <v>10</v>
      </c>
      <c r="E12" s="2">
        <v>41.75</v>
      </c>
      <c r="F12" s="27">
        <f t="shared" si="0"/>
        <v>417.5</v>
      </c>
    </row>
    <row r="13" spans="1:7" x14ac:dyDescent="0.3">
      <c r="A13" s="1"/>
      <c r="B13" s="1"/>
      <c r="C13" s="1" t="s">
        <v>11</v>
      </c>
      <c r="D13" s="2">
        <v>5.25</v>
      </c>
      <c r="E13" s="2">
        <v>79.75</v>
      </c>
      <c r="F13" s="27">
        <f t="shared" si="0"/>
        <v>418.69</v>
      </c>
    </row>
    <row r="14" spans="1:7" x14ac:dyDescent="0.3">
      <c r="A14" s="1"/>
      <c r="B14" s="1"/>
      <c r="C14" s="1" t="s">
        <v>12</v>
      </c>
      <c r="D14" s="2">
        <v>0.25</v>
      </c>
      <c r="E14" s="2">
        <v>127.75</v>
      </c>
      <c r="F14" s="27">
        <f t="shared" si="0"/>
        <v>31.94</v>
      </c>
    </row>
    <row r="15" spans="1:7" x14ac:dyDescent="0.3">
      <c r="A15" s="1"/>
      <c r="B15" s="1"/>
      <c r="C15" s="1" t="s">
        <v>13</v>
      </c>
      <c r="D15" s="2">
        <v>10.5</v>
      </c>
      <c r="E15" s="2">
        <v>39.75</v>
      </c>
      <c r="F15" s="27">
        <f t="shared" si="0"/>
        <v>417.38</v>
      </c>
    </row>
    <row r="16" spans="1:7" x14ac:dyDescent="0.3">
      <c r="A16" s="1"/>
      <c r="B16" s="1"/>
      <c r="C16" s="1" t="s">
        <v>14</v>
      </c>
      <c r="D16" s="2">
        <v>6.5</v>
      </c>
      <c r="E16" s="2">
        <v>77.75</v>
      </c>
      <c r="F16" s="27">
        <f t="shared" si="0"/>
        <v>505.38</v>
      </c>
    </row>
    <row r="17" spans="1:6" x14ac:dyDescent="0.3">
      <c r="A17" s="1"/>
      <c r="B17" s="1"/>
      <c r="C17" s="1" t="s">
        <v>15</v>
      </c>
      <c r="D17" s="2">
        <v>0.25</v>
      </c>
      <c r="E17" s="2">
        <v>127.75</v>
      </c>
      <c r="F17" s="27">
        <f t="shared" si="0"/>
        <v>31.94</v>
      </c>
    </row>
    <row r="18" spans="1:6" x14ac:dyDescent="0.3">
      <c r="A18" s="1"/>
      <c r="B18" s="1"/>
      <c r="C18" s="1" t="s">
        <v>16</v>
      </c>
      <c r="D18" s="2">
        <v>14</v>
      </c>
      <c r="E18" s="2">
        <v>52.75</v>
      </c>
      <c r="F18" s="27">
        <f t="shared" si="0"/>
        <v>738.5</v>
      </c>
    </row>
    <row r="19" spans="1:6" x14ac:dyDescent="0.3">
      <c r="A19" s="1"/>
      <c r="B19" s="1"/>
      <c r="C19" s="1" t="s">
        <v>17</v>
      </c>
      <c r="D19" s="2">
        <v>0.05</v>
      </c>
      <c r="E19" s="2">
        <v>102.75</v>
      </c>
      <c r="F19" s="27">
        <f t="shared" si="0"/>
        <v>5.14</v>
      </c>
    </row>
    <row r="20" spans="1:6" x14ac:dyDescent="0.3">
      <c r="A20" s="1"/>
      <c r="B20" s="1"/>
      <c r="C20" s="1" t="s">
        <v>18</v>
      </c>
      <c r="D20" s="2">
        <v>2.25</v>
      </c>
      <c r="E20" s="2">
        <v>127.75</v>
      </c>
      <c r="F20" s="27">
        <f t="shared" si="0"/>
        <v>287.44</v>
      </c>
    </row>
    <row r="21" spans="1:6" x14ac:dyDescent="0.3">
      <c r="A21" s="1"/>
      <c r="B21" s="1"/>
      <c r="C21" s="1" t="s">
        <v>19</v>
      </c>
      <c r="D21" s="2">
        <v>0.5</v>
      </c>
      <c r="E21" s="2">
        <v>77.75</v>
      </c>
      <c r="F21" s="27">
        <f t="shared" si="0"/>
        <v>38.880000000000003</v>
      </c>
    </row>
    <row r="22" spans="1:6" x14ac:dyDescent="0.3">
      <c r="A22" s="1"/>
      <c r="B22" s="1"/>
      <c r="C22" s="1" t="s">
        <v>40</v>
      </c>
      <c r="D22" s="2">
        <v>0.25</v>
      </c>
      <c r="E22" s="2">
        <v>127.75</v>
      </c>
      <c r="F22" s="27">
        <f t="shared" ref="F22" si="1">ROUND(IFERROR((D22*E22),""),2)</f>
        <v>31.94</v>
      </c>
    </row>
    <row r="23" spans="1:6" x14ac:dyDescent="0.3">
      <c r="A23" s="1"/>
      <c r="B23" s="1"/>
      <c r="C23" s="1" t="s">
        <v>20</v>
      </c>
      <c r="D23" s="2">
        <v>1.92</v>
      </c>
      <c r="E23" s="2">
        <v>67.75</v>
      </c>
      <c r="F23" s="27">
        <f t="shared" si="0"/>
        <v>130.08000000000001</v>
      </c>
    </row>
    <row r="24" spans="1:6" x14ac:dyDescent="0.3">
      <c r="A24" s="1"/>
      <c r="B24" s="1"/>
      <c r="C24" s="1" t="s">
        <v>21</v>
      </c>
      <c r="D24" s="2">
        <v>2</v>
      </c>
      <c r="E24" s="2">
        <v>39.75</v>
      </c>
      <c r="F24" s="27">
        <f t="shared" si="0"/>
        <v>79.5</v>
      </c>
    </row>
    <row r="25" spans="1:6" x14ac:dyDescent="0.3">
      <c r="A25" s="1"/>
      <c r="B25" s="1"/>
      <c r="C25" s="1" t="s">
        <v>22</v>
      </c>
      <c r="D25" s="2">
        <v>0.25</v>
      </c>
      <c r="E25" s="2">
        <v>127.75</v>
      </c>
      <c r="F25" s="27">
        <f t="shared" si="0"/>
        <v>31.94</v>
      </c>
    </row>
    <row r="26" spans="1:6" x14ac:dyDescent="0.3">
      <c r="A26" s="1"/>
      <c r="B26" s="1"/>
      <c r="C26" s="1" t="s">
        <v>23</v>
      </c>
      <c r="D26" s="2">
        <v>2</v>
      </c>
      <c r="E26" s="2">
        <v>39.75</v>
      </c>
      <c r="F26" s="27">
        <f t="shared" si="0"/>
        <v>79.5</v>
      </c>
    </row>
    <row r="27" spans="1:6" x14ac:dyDescent="0.3">
      <c r="A27" s="1"/>
      <c r="B27" s="1"/>
      <c r="C27" s="1" t="s">
        <v>24</v>
      </c>
      <c r="D27" s="2">
        <v>3.5</v>
      </c>
      <c r="E27" s="2">
        <v>39.75</v>
      </c>
      <c r="F27" s="27">
        <f t="shared" si="0"/>
        <v>139.13</v>
      </c>
    </row>
    <row r="28" spans="1:6" x14ac:dyDescent="0.3">
      <c r="A28" s="1"/>
      <c r="B28" s="1"/>
      <c r="C28" s="1" t="s">
        <v>25</v>
      </c>
      <c r="D28" s="2">
        <v>1</v>
      </c>
      <c r="E28" s="2">
        <v>77.75</v>
      </c>
      <c r="F28" s="27">
        <f t="shared" si="0"/>
        <v>77.75</v>
      </c>
    </row>
    <row r="29" spans="1:6" x14ac:dyDescent="0.3">
      <c r="A29" s="1"/>
      <c r="B29" s="1"/>
      <c r="C29" s="1" t="s">
        <v>26</v>
      </c>
      <c r="D29" s="2">
        <v>4.5</v>
      </c>
      <c r="E29" s="2">
        <v>39.75</v>
      </c>
      <c r="F29" s="27">
        <f t="shared" si="0"/>
        <v>178.88</v>
      </c>
    </row>
    <row r="30" spans="1:6" x14ac:dyDescent="0.3">
      <c r="A30" s="1"/>
      <c r="B30" s="1"/>
      <c r="C30" s="1" t="s">
        <v>27</v>
      </c>
      <c r="D30" s="2">
        <v>5</v>
      </c>
      <c r="E30" s="2">
        <v>39.75</v>
      </c>
      <c r="F30" s="27">
        <f t="shared" si="0"/>
        <v>198.75</v>
      </c>
    </row>
    <row r="31" spans="1:6" x14ac:dyDescent="0.3">
      <c r="A31" s="1"/>
      <c r="B31" s="1"/>
      <c r="C31" s="1" t="s">
        <v>28</v>
      </c>
      <c r="D31" s="2">
        <v>16</v>
      </c>
      <c r="E31" s="2">
        <v>41.75</v>
      </c>
      <c r="F31" s="27">
        <f t="shared" si="0"/>
        <v>668</v>
      </c>
    </row>
    <row r="32" spans="1:6" x14ac:dyDescent="0.3">
      <c r="A32" s="1"/>
      <c r="B32" s="1"/>
      <c r="C32" s="1" t="s">
        <v>29</v>
      </c>
      <c r="D32" s="2">
        <v>2</v>
      </c>
      <c r="E32" s="2">
        <v>54.75</v>
      </c>
      <c r="F32" s="27">
        <f t="shared" si="0"/>
        <v>109.5</v>
      </c>
    </row>
    <row r="33" spans="1:6" x14ac:dyDescent="0.3">
      <c r="A33" s="1"/>
      <c r="B33" s="1"/>
      <c r="C33" s="1" t="s">
        <v>30</v>
      </c>
      <c r="D33" s="2">
        <v>2</v>
      </c>
      <c r="E33" s="2">
        <v>79.75</v>
      </c>
      <c r="F33" s="27">
        <f t="shared" si="0"/>
        <v>159.5</v>
      </c>
    </row>
    <row r="34" spans="1:6" x14ac:dyDescent="0.3">
      <c r="A34" s="1"/>
      <c r="B34" s="1"/>
      <c r="C34" s="1" t="s">
        <v>31</v>
      </c>
      <c r="D34" s="2">
        <v>0.25</v>
      </c>
      <c r="E34" s="2">
        <v>127.75</v>
      </c>
      <c r="F34" s="27">
        <f t="shared" si="0"/>
        <v>31.94</v>
      </c>
    </row>
    <row r="35" spans="1:6" x14ac:dyDescent="0.3">
      <c r="A35" s="1"/>
      <c r="B35" s="1"/>
      <c r="C35" s="1" t="s">
        <v>32</v>
      </c>
      <c r="D35" s="2">
        <v>7.5</v>
      </c>
      <c r="E35" s="2">
        <v>52.75</v>
      </c>
      <c r="F35" s="27">
        <f t="shared" si="0"/>
        <v>395.63</v>
      </c>
    </row>
    <row r="36" spans="1:6" x14ac:dyDescent="0.3">
      <c r="A36" s="1"/>
      <c r="B36" s="1"/>
      <c r="C36" s="1" t="s">
        <v>57</v>
      </c>
      <c r="D36" s="2">
        <v>1.73</v>
      </c>
      <c r="E36" s="2">
        <v>52.75</v>
      </c>
      <c r="F36" s="27">
        <f>ROUND(IFERROR((D36*E36),""),2)</f>
        <v>91.26</v>
      </c>
    </row>
    <row r="37" spans="1:6" ht="15" thickBot="1" x14ac:dyDescent="0.35">
      <c r="A37" s="1"/>
      <c r="B37" s="1"/>
      <c r="C37" s="1" t="s">
        <v>33</v>
      </c>
      <c r="D37" s="3">
        <v>3</v>
      </c>
      <c r="E37" s="2">
        <v>77.75</v>
      </c>
      <c r="F37" s="28">
        <f t="shared" si="0"/>
        <v>233.25</v>
      </c>
    </row>
    <row r="38" spans="1:6" x14ac:dyDescent="0.3">
      <c r="A38" s="1"/>
      <c r="B38" s="1" t="s">
        <v>34</v>
      </c>
      <c r="C38" s="1"/>
      <c r="D38" s="2">
        <f>ROUND(SUM(D3:D37),5)</f>
        <v>393.2</v>
      </c>
      <c r="E38" s="2"/>
      <c r="F38" s="27">
        <f>ROUND(SUM(F3:F37),5)</f>
        <v>19102.669999999998</v>
      </c>
    </row>
    <row r="39" spans="1:6" x14ac:dyDescent="0.3">
      <c r="A39" s="1"/>
      <c r="B39" s="1" t="s">
        <v>35</v>
      </c>
      <c r="C39" s="1"/>
      <c r="D39" s="2"/>
      <c r="E39" s="2"/>
      <c r="F39" s="27"/>
    </row>
    <row r="40" spans="1:6" x14ac:dyDescent="0.3">
      <c r="A40" s="1"/>
      <c r="B40" s="1"/>
      <c r="C40" s="1" t="s">
        <v>36</v>
      </c>
      <c r="D40" s="2">
        <v>4</v>
      </c>
      <c r="E40" s="2">
        <v>79.75</v>
      </c>
      <c r="F40" s="27">
        <f t="shared" si="0"/>
        <v>319</v>
      </c>
    </row>
    <row r="41" spans="1:6" x14ac:dyDescent="0.3">
      <c r="A41" s="1"/>
      <c r="B41" s="1"/>
      <c r="C41" s="1" t="s">
        <v>8</v>
      </c>
      <c r="D41" s="2">
        <v>1.5</v>
      </c>
      <c r="E41" s="2">
        <v>79.75</v>
      </c>
      <c r="F41" s="27">
        <f t="shared" si="0"/>
        <v>119.63</v>
      </c>
    </row>
    <row r="42" spans="1:6" x14ac:dyDescent="0.3">
      <c r="A42" s="1"/>
      <c r="B42" s="1"/>
      <c r="C42" s="1" t="s">
        <v>10</v>
      </c>
      <c r="D42" s="2">
        <v>28</v>
      </c>
      <c r="E42" s="2">
        <v>41.75</v>
      </c>
      <c r="F42" s="27">
        <f t="shared" si="0"/>
        <v>1169</v>
      </c>
    </row>
    <row r="43" spans="1:6" x14ac:dyDescent="0.3">
      <c r="A43" s="1"/>
      <c r="B43" s="1"/>
      <c r="C43" s="1" t="s">
        <v>37</v>
      </c>
      <c r="D43" s="2">
        <v>1</v>
      </c>
      <c r="E43" s="2">
        <v>54.75</v>
      </c>
      <c r="F43" s="27">
        <f t="shared" si="0"/>
        <v>54.75</v>
      </c>
    </row>
    <row r="44" spans="1:6" x14ac:dyDescent="0.3">
      <c r="A44" s="1"/>
      <c r="B44" s="1"/>
      <c r="C44" s="1" t="s">
        <v>11</v>
      </c>
      <c r="D44" s="2">
        <v>1.5</v>
      </c>
      <c r="E44" s="2">
        <v>79.75</v>
      </c>
      <c r="F44" s="27">
        <f t="shared" si="0"/>
        <v>119.63</v>
      </c>
    </row>
    <row r="45" spans="1:6" x14ac:dyDescent="0.3">
      <c r="A45" s="1"/>
      <c r="B45" s="1"/>
      <c r="C45" s="1" t="s">
        <v>12</v>
      </c>
      <c r="D45" s="2">
        <v>0.5</v>
      </c>
      <c r="E45" s="2">
        <v>127.75</v>
      </c>
      <c r="F45" s="27">
        <f t="shared" si="0"/>
        <v>63.88</v>
      </c>
    </row>
    <row r="46" spans="1:6" x14ac:dyDescent="0.3">
      <c r="A46" s="1"/>
      <c r="B46" s="1"/>
      <c r="C46" s="1" t="s">
        <v>13</v>
      </c>
      <c r="D46" s="2">
        <v>59</v>
      </c>
      <c r="E46" s="2">
        <v>39.75</v>
      </c>
      <c r="F46" s="27">
        <f t="shared" si="0"/>
        <v>2345.25</v>
      </c>
    </row>
    <row r="47" spans="1:6" x14ac:dyDescent="0.3">
      <c r="A47" s="1"/>
      <c r="B47" s="1"/>
      <c r="C47" s="1" t="s">
        <v>14</v>
      </c>
      <c r="D47" s="2">
        <v>9.5</v>
      </c>
      <c r="E47" s="2">
        <v>77.75</v>
      </c>
      <c r="F47" s="27">
        <f t="shared" si="0"/>
        <v>738.63</v>
      </c>
    </row>
    <row r="48" spans="1:6" x14ac:dyDescent="0.3">
      <c r="A48" s="1"/>
      <c r="B48" s="1"/>
      <c r="C48" s="1" t="s">
        <v>15</v>
      </c>
      <c r="D48" s="2">
        <v>1.25</v>
      </c>
      <c r="E48" s="2">
        <v>127.75</v>
      </c>
      <c r="F48" s="27">
        <f t="shared" si="0"/>
        <v>159.69</v>
      </c>
    </row>
    <row r="49" spans="1:6" x14ac:dyDescent="0.3">
      <c r="A49" s="1"/>
      <c r="B49" s="1"/>
      <c r="C49" s="1" t="s">
        <v>38</v>
      </c>
      <c r="D49" s="2">
        <v>2</v>
      </c>
      <c r="E49" s="2">
        <v>102.75</v>
      </c>
      <c r="F49" s="27">
        <f t="shared" si="0"/>
        <v>205.5</v>
      </c>
    </row>
    <row r="50" spans="1:6" x14ac:dyDescent="0.3">
      <c r="A50" s="1"/>
      <c r="B50" s="1"/>
      <c r="C50" s="1" t="s">
        <v>16</v>
      </c>
      <c r="D50" s="2">
        <v>21.5</v>
      </c>
      <c r="E50" s="2">
        <v>52.75</v>
      </c>
      <c r="F50" s="27">
        <f t="shared" si="0"/>
        <v>1134.1300000000001</v>
      </c>
    </row>
    <row r="51" spans="1:6" x14ac:dyDescent="0.3">
      <c r="A51" s="1"/>
      <c r="B51" s="1"/>
      <c r="C51" s="1" t="s">
        <v>17</v>
      </c>
      <c r="D51" s="2">
        <v>1.1000000000000001</v>
      </c>
      <c r="E51" s="2">
        <v>102.75</v>
      </c>
      <c r="F51" s="27">
        <f t="shared" si="0"/>
        <v>113.03</v>
      </c>
    </row>
    <row r="52" spans="1:6" x14ac:dyDescent="0.3">
      <c r="A52" s="1"/>
      <c r="B52" s="1"/>
      <c r="C52" s="1" t="s">
        <v>39</v>
      </c>
      <c r="D52" s="2">
        <v>8.92</v>
      </c>
      <c r="E52" s="2">
        <v>67.75</v>
      </c>
      <c r="F52" s="27">
        <f t="shared" si="0"/>
        <v>604.33000000000004</v>
      </c>
    </row>
    <row r="53" spans="1:6" x14ac:dyDescent="0.3">
      <c r="A53" s="1"/>
      <c r="B53" s="1"/>
      <c r="C53" s="1" t="s">
        <v>18</v>
      </c>
      <c r="D53" s="2">
        <v>2.75</v>
      </c>
      <c r="E53" s="2">
        <v>127.75</v>
      </c>
      <c r="F53" s="27">
        <f t="shared" si="0"/>
        <v>351.31</v>
      </c>
    </row>
    <row r="54" spans="1:6" x14ac:dyDescent="0.3">
      <c r="A54" s="1"/>
      <c r="B54" s="1"/>
      <c r="C54" s="1" t="s">
        <v>19</v>
      </c>
      <c r="D54" s="2">
        <v>7</v>
      </c>
      <c r="E54" s="2">
        <v>77.75</v>
      </c>
      <c r="F54" s="27">
        <f t="shared" si="0"/>
        <v>544.25</v>
      </c>
    </row>
    <row r="55" spans="1:6" x14ac:dyDescent="0.3">
      <c r="A55" s="1"/>
      <c r="B55" s="1"/>
      <c r="C55" s="1" t="s">
        <v>40</v>
      </c>
      <c r="D55" s="2">
        <v>0.25</v>
      </c>
      <c r="E55" s="2">
        <v>127.75</v>
      </c>
      <c r="F55" s="27">
        <f t="shared" si="0"/>
        <v>31.94</v>
      </c>
    </row>
    <row r="56" spans="1:6" x14ac:dyDescent="0.3">
      <c r="A56" s="1"/>
      <c r="B56" s="1"/>
      <c r="C56" s="1" t="s">
        <v>41</v>
      </c>
      <c r="D56" s="2">
        <v>3.5</v>
      </c>
      <c r="E56" s="2">
        <v>39.75</v>
      </c>
      <c r="F56" s="27">
        <f t="shared" si="0"/>
        <v>139.13</v>
      </c>
    </row>
    <row r="57" spans="1:6" x14ac:dyDescent="0.3">
      <c r="A57" s="1"/>
      <c r="B57" s="1"/>
      <c r="C57" s="1" t="s">
        <v>20</v>
      </c>
      <c r="D57" s="2">
        <v>5.25</v>
      </c>
      <c r="E57" s="2">
        <v>67.75</v>
      </c>
      <c r="F57" s="27">
        <f t="shared" si="0"/>
        <v>355.69</v>
      </c>
    </row>
    <row r="58" spans="1:6" x14ac:dyDescent="0.3">
      <c r="A58" s="1"/>
      <c r="B58" s="1"/>
      <c r="C58" s="1" t="s">
        <v>42</v>
      </c>
      <c r="D58" s="2">
        <v>1</v>
      </c>
      <c r="E58" s="2">
        <v>127.75</v>
      </c>
      <c r="F58" s="27">
        <f t="shared" si="0"/>
        <v>127.75</v>
      </c>
    </row>
    <row r="59" spans="1:6" x14ac:dyDescent="0.3">
      <c r="A59" s="1"/>
      <c r="B59" s="1"/>
      <c r="C59" s="1" t="s">
        <v>43</v>
      </c>
      <c r="D59" s="2">
        <v>0.25</v>
      </c>
      <c r="E59" s="2">
        <v>127.75</v>
      </c>
      <c r="F59" s="27">
        <f t="shared" si="0"/>
        <v>31.94</v>
      </c>
    </row>
    <row r="60" spans="1:6" x14ac:dyDescent="0.3">
      <c r="A60" s="1"/>
      <c r="B60" s="1"/>
      <c r="C60" s="1" t="s">
        <v>44</v>
      </c>
      <c r="D60" s="2">
        <v>2.5</v>
      </c>
      <c r="E60" s="2">
        <v>39.75</v>
      </c>
      <c r="F60" s="27">
        <f t="shared" si="0"/>
        <v>99.38</v>
      </c>
    </row>
    <row r="61" spans="1:6" x14ac:dyDescent="0.3">
      <c r="A61" s="1"/>
      <c r="B61" s="1"/>
      <c r="C61" s="1" t="s">
        <v>45</v>
      </c>
      <c r="D61" s="2">
        <v>2</v>
      </c>
      <c r="E61" s="2">
        <v>39.75</v>
      </c>
      <c r="F61" s="27">
        <f t="shared" si="0"/>
        <v>79.5</v>
      </c>
    </row>
    <row r="62" spans="1:6" x14ac:dyDescent="0.3">
      <c r="A62" s="1"/>
      <c r="B62" s="1"/>
      <c r="C62" s="1" t="s">
        <v>23</v>
      </c>
      <c r="D62" s="2">
        <v>3.5</v>
      </c>
      <c r="E62" s="2">
        <v>39.75</v>
      </c>
      <c r="F62" s="27">
        <f t="shared" si="0"/>
        <v>139.13</v>
      </c>
    </row>
    <row r="63" spans="1:6" x14ac:dyDescent="0.3">
      <c r="A63" s="1"/>
      <c r="B63" s="1"/>
      <c r="C63" s="1" t="s">
        <v>24</v>
      </c>
      <c r="D63" s="2">
        <v>3</v>
      </c>
      <c r="E63" s="2">
        <v>39.75</v>
      </c>
      <c r="F63" s="27">
        <f t="shared" si="0"/>
        <v>119.25</v>
      </c>
    </row>
    <row r="64" spans="1:6" x14ac:dyDescent="0.3">
      <c r="A64" s="1"/>
      <c r="B64" s="1"/>
      <c r="C64" s="1" t="s">
        <v>25</v>
      </c>
      <c r="D64" s="2">
        <v>1.5</v>
      </c>
      <c r="E64" s="2">
        <v>77.75</v>
      </c>
      <c r="F64" s="27">
        <f t="shared" si="0"/>
        <v>116.63</v>
      </c>
    </row>
    <row r="65" spans="1:6" x14ac:dyDescent="0.3">
      <c r="A65" s="1"/>
      <c r="B65" s="1"/>
      <c r="C65" s="1" t="s">
        <v>46</v>
      </c>
      <c r="D65" s="2">
        <v>1</v>
      </c>
      <c r="E65" s="2">
        <v>77.75</v>
      </c>
      <c r="F65" s="27">
        <f t="shared" si="0"/>
        <v>77.75</v>
      </c>
    </row>
    <row r="66" spans="1:6" x14ac:dyDescent="0.3">
      <c r="A66" s="1"/>
      <c r="B66" s="1"/>
      <c r="C66" s="1" t="s">
        <v>32</v>
      </c>
      <c r="D66" s="2">
        <v>4</v>
      </c>
      <c r="E66" s="2">
        <v>52.75</v>
      </c>
      <c r="F66" s="27">
        <f t="shared" ref="F66:F70" si="2">ROUND(IFERROR((D66*E66),""),2)</f>
        <v>211</v>
      </c>
    </row>
    <row r="67" spans="1:6" x14ac:dyDescent="0.3">
      <c r="A67" s="1"/>
      <c r="B67" s="1"/>
      <c r="C67" s="1" t="s">
        <v>47</v>
      </c>
      <c r="D67" s="2">
        <v>2</v>
      </c>
      <c r="E67" s="2">
        <v>102.75</v>
      </c>
      <c r="F67" s="27">
        <f t="shared" si="2"/>
        <v>205.5</v>
      </c>
    </row>
    <row r="68" spans="1:6" x14ac:dyDescent="0.3">
      <c r="A68" s="1"/>
      <c r="B68" s="1"/>
      <c r="C68" s="1" t="s">
        <v>57</v>
      </c>
      <c r="D68" s="2">
        <v>6.27</v>
      </c>
      <c r="E68" s="2">
        <v>52.75</v>
      </c>
      <c r="F68" s="27">
        <f>ROUND(IFERROR((D68*E68),""),2)</f>
        <v>330.74</v>
      </c>
    </row>
    <row r="69" spans="1:6" x14ac:dyDescent="0.3">
      <c r="A69" s="1"/>
      <c r="B69" s="1"/>
      <c r="C69" s="1" t="s">
        <v>48</v>
      </c>
      <c r="D69" s="2">
        <v>0.25</v>
      </c>
      <c r="E69" s="2">
        <v>127.75</v>
      </c>
      <c r="F69" s="27">
        <f t="shared" si="2"/>
        <v>31.94</v>
      </c>
    </row>
    <row r="70" spans="1:6" ht="15" thickBot="1" x14ac:dyDescent="0.35">
      <c r="A70" s="1"/>
      <c r="B70" s="1"/>
      <c r="C70" s="1" t="s">
        <v>49</v>
      </c>
      <c r="D70" s="2">
        <v>2.25</v>
      </c>
      <c r="E70" s="2">
        <v>39.75</v>
      </c>
      <c r="F70" s="27">
        <f t="shared" si="2"/>
        <v>89.44</v>
      </c>
    </row>
    <row r="71" spans="1:6" ht="15" thickBot="1" x14ac:dyDescent="0.35">
      <c r="A71" s="1"/>
      <c r="B71" s="1" t="s">
        <v>50</v>
      </c>
      <c r="C71" s="1"/>
      <c r="D71" s="4">
        <f>ROUND(SUM(D39:D70),5)</f>
        <v>188.04</v>
      </c>
      <c r="E71" s="2"/>
      <c r="F71" s="29">
        <f>ROUND(SUM(F39:F70),5)</f>
        <v>10228.719999999999</v>
      </c>
    </row>
    <row r="72" spans="1:6" s="6" customFormat="1" ht="10.8" thickBot="1" x14ac:dyDescent="0.25">
      <c r="A72" s="1" t="s">
        <v>51</v>
      </c>
      <c r="B72" s="1"/>
      <c r="C72" s="1"/>
      <c r="D72" s="5">
        <f>ROUND(D2+D38+D71,5)</f>
        <v>581.24</v>
      </c>
      <c r="E72" s="2"/>
      <c r="F72" s="30">
        <f>ROUND(F2+F38+F71,5)</f>
        <v>29331.39</v>
      </c>
    </row>
    <row r="73" spans="1:6" ht="15" thickTop="1" x14ac:dyDescent="0.3"/>
  </sheetData>
  <pageMargins left="0.7" right="0.7" top="0.75" bottom="0.75" header="0.1" footer="0.3"/>
  <pageSetup orientation="portrait" verticalDpi="0" r:id="rId1"/>
  <headerFooter>
    <oddHeader>&amp;L&amp;"Arial,Bold"&amp;8 &amp;C&amp;"Arial,Bold"&amp;12 Silverado Farming Company, Inc.
&amp;"Arial,Bold"&amp;14 Time by Job Summary
&amp;"Arial,Bold"&amp;10 June 29 through August 2, 2026</oddHeader>
    <oddFooter>&amp;R&amp;"Arial,Bold"&amp;8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C05B-CEC9-4B2F-A0DB-7DB237DF2DBD}">
  <dimension ref="A1:J29"/>
  <sheetViews>
    <sheetView workbookViewId="0">
      <selection activeCell="J4" sqref="J4"/>
    </sheetView>
  </sheetViews>
  <sheetFormatPr defaultRowHeight="14.4" x14ac:dyDescent="0.3"/>
  <cols>
    <col min="1" max="2" width="3" customWidth="1"/>
    <col min="3" max="3" width="3.44140625" customWidth="1"/>
    <col min="4" max="4" width="13.88671875" bestFit="1" customWidth="1"/>
    <col min="5" max="5" width="8.44140625" bestFit="1" customWidth="1"/>
    <col min="6" max="6" width="23.33203125" bestFit="1" customWidth="1"/>
    <col min="7" max="7" width="56" bestFit="1" customWidth="1"/>
    <col min="8" max="8" width="16.33203125" bestFit="1" customWidth="1"/>
    <col min="9" max="9" width="8.77734375" style="25" bestFit="1" customWidth="1"/>
  </cols>
  <sheetData>
    <row r="1" spans="1:10" s="8" customFormat="1" ht="15" thickBot="1" x14ac:dyDescent="0.35">
      <c r="A1" s="18"/>
      <c r="B1" s="18"/>
      <c r="C1" s="18"/>
      <c r="D1" s="17" t="s">
        <v>103</v>
      </c>
      <c r="E1" s="17" t="s">
        <v>102</v>
      </c>
      <c r="F1" s="17" t="s">
        <v>101</v>
      </c>
      <c r="G1" s="17" t="s">
        <v>100</v>
      </c>
      <c r="H1" s="17" t="s">
        <v>99</v>
      </c>
      <c r="I1" s="19" t="s">
        <v>98</v>
      </c>
    </row>
    <row r="2" spans="1:10" ht="15" thickTop="1" x14ac:dyDescent="0.3">
      <c r="A2" s="12"/>
      <c r="B2" s="12" t="s">
        <v>97</v>
      </c>
      <c r="C2" s="12"/>
      <c r="D2" s="12"/>
      <c r="E2" s="13"/>
      <c r="F2" s="12"/>
      <c r="G2" s="12"/>
      <c r="H2" s="12"/>
      <c r="I2" s="20"/>
    </row>
    <row r="3" spans="1:10" x14ac:dyDescent="0.3">
      <c r="A3" s="12"/>
      <c r="B3" s="12"/>
      <c r="C3" s="12" t="s">
        <v>96</v>
      </c>
      <c r="D3" s="12"/>
      <c r="E3" s="13"/>
      <c r="F3" s="12"/>
      <c r="G3" s="12"/>
      <c r="H3" s="12"/>
      <c r="I3" s="20"/>
    </row>
    <row r="4" spans="1:10" x14ac:dyDescent="0.3">
      <c r="A4" s="14"/>
      <c r="B4" s="14"/>
      <c r="C4" s="14"/>
      <c r="D4" s="14" t="s">
        <v>63</v>
      </c>
      <c r="E4" s="15">
        <v>46204</v>
      </c>
      <c r="F4" s="14" t="s">
        <v>94</v>
      </c>
      <c r="G4" s="14" t="s">
        <v>95</v>
      </c>
      <c r="H4" s="14" t="s">
        <v>69</v>
      </c>
      <c r="I4" s="21">
        <v>110.62240000000001</v>
      </c>
      <c r="J4" s="16"/>
    </row>
    <row r="5" spans="1:10" x14ac:dyDescent="0.3">
      <c r="A5" s="14"/>
      <c r="B5" s="14"/>
      <c r="C5" s="14"/>
      <c r="D5" s="14" t="s">
        <v>63</v>
      </c>
      <c r="E5" s="15">
        <v>46206</v>
      </c>
      <c r="F5" s="14" t="s">
        <v>94</v>
      </c>
      <c r="G5" s="14" t="s">
        <v>93</v>
      </c>
      <c r="H5" s="14" t="s">
        <v>69</v>
      </c>
      <c r="I5" s="21">
        <v>45.337600000000002</v>
      </c>
    </row>
    <row r="6" spans="1:10" x14ac:dyDescent="0.3">
      <c r="A6" s="14"/>
      <c r="B6" s="14"/>
      <c r="C6" s="14"/>
      <c r="D6" s="14" t="s">
        <v>72</v>
      </c>
      <c r="E6" s="15">
        <v>46223</v>
      </c>
      <c r="F6" s="14" t="s">
        <v>71</v>
      </c>
      <c r="G6" s="14" t="s">
        <v>92</v>
      </c>
      <c r="H6" s="14" t="s">
        <v>69</v>
      </c>
      <c r="I6" s="21">
        <v>56.492800000000003</v>
      </c>
    </row>
    <row r="7" spans="1:10" x14ac:dyDescent="0.3">
      <c r="A7" s="14"/>
      <c r="B7" s="14"/>
      <c r="C7" s="14"/>
      <c r="D7" s="14" t="s">
        <v>63</v>
      </c>
      <c r="E7" s="15">
        <v>46234</v>
      </c>
      <c r="F7" s="14" t="s">
        <v>68</v>
      </c>
      <c r="G7" s="14" t="s">
        <v>91</v>
      </c>
      <c r="H7" s="14" t="s">
        <v>64</v>
      </c>
      <c r="I7" s="21">
        <v>1030.9824000000001</v>
      </c>
    </row>
    <row r="8" spans="1:10" x14ac:dyDescent="0.3">
      <c r="A8" s="14"/>
      <c r="B8" s="14"/>
      <c r="C8" s="14"/>
      <c r="D8" s="14" t="s">
        <v>63</v>
      </c>
      <c r="E8" s="15">
        <v>46234</v>
      </c>
      <c r="F8" s="14" t="s">
        <v>66</v>
      </c>
      <c r="G8" s="14" t="s">
        <v>65</v>
      </c>
      <c r="H8" s="14" t="s">
        <v>64</v>
      </c>
      <c r="I8" s="21">
        <v>17.785600000000002</v>
      </c>
    </row>
    <row r="9" spans="1:10" x14ac:dyDescent="0.3">
      <c r="A9" s="14"/>
      <c r="B9" s="14"/>
      <c r="C9" s="14"/>
      <c r="D9" s="14" t="s">
        <v>63</v>
      </c>
      <c r="E9" s="15">
        <v>46234</v>
      </c>
      <c r="F9" s="14" t="s">
        <v>66</v>
      </c>
      <c r="G9" s="14" t="s">
        <v>90</v>
      </c>
      <c r="H9" s="14" t="s">
        <v>88</v>
      </c>
      <c r="I9" s="21">
        <v>8.8144000000000009</v>
      </c>
    </row>
    <row r="10" spans="1:10" x14ac:dyDescent="0.3">
      <c r="A10" s="14"/>
      <c r="B10" s="14"/>
      <c r="C10" s="14"/>
      <c r="D10" s="14" t="s">
        <v>63</v>
      </c>
      <c r="E10" s="15">
        <v>46234</v>
      </c>
      <c r="F10" s="14" t="s">
        <v>68</v>
      </c>
      <c r="G10" s="14" t="s">
        <v>89</v>
      </c>
      <c r="H10" s="14" t="s">
        <v>88</v>
      </c>
      <c r="I10" s="21">
        <v>166.99200000000002</v>
      </c>
    </row>
    <row r="11" spans="1:10" ht="15" thickBot="1" x14ac:dyDescent="0.35">
      <c r="A11" s="14"/>
      <c r="B11" s="14"/>
      <c r="C11" s="14"/>
      <c r="D11" s="14" t="s">
        <v>63</v>
      </c>
      <c r="E11" s="15">
        <v>46234</v>
      </c>
      <c r="F11" s="14" t="s">
        <v>62</v>
      </c>
      <c r="G11" s="14" t="s">
        <v>61</v>
      </c>
      <c r="H11" s="14" t="s">
        <v>60</v>
      </c>
      <c r="I11" s="22">
        <v>119.97440000000002</v>
      </c>
    </row>
    <row r="12" spans="1:10" x14ac:dyDescent="0.3">
      <c r="A12" s="14"/>
      <c r="B12" s="14"/>
      <c r="C12" s="14" t="s">
        <v>87</v>
      </c>
      <c r="D12" s="14"/>
      <c r="E12" s="15"/>
      <c r="F12" s="14"/>
      <c r="G12" s="14"/>
      <c r="H12" s="14"/>
      <c r="I12" s="21">
        <f>ROUND(SUM(I3:I11),5)</f>
        <v>1557.0016000000001</v>
      </c>
    </row>
    <row r="13" spans="1:10" x14ac:dyDescent="0.3">
      <c r="A13" s="12"/>
      <c r="B13" s="12"/>
      <c r="C13" s="12" t="s">
        <v>86</v>
      </c>
      <c r="D13" s="12"/>
      <c r="E13" s="13"/>
      <c r="F13" s="12"/>
      <c r="G13" s="12"/>
      <c r="H13" s="12"/>
      <c r="I13" s="20"/>
    </row>
    <row r="14" spans="1:10" x14ac:dyDescent="0.3">
      <c r="A14" s="14"/>
      <c r="B14" s="14"/>
      <c r="C14" s="14"/>
      <c r="D14" s="14" t="s">
        <v>63</v>
      </c>
      <c r="E14" s="15">
        <v>46213</v>
      </c>
      <c r="F14" s="14" t="s">
        <v>85</v>
      </c>
      <c r="G14" s="14" t="s">
        <v>84</v>
      </c>
      <c r="H14" s="14" t="s">
        <v>83</v>
      </c>
      <c r="I14" s="21">
        <v>231.84000000000003</v>
      </c>
    </row>
    <row r="15" spans="1:10" x14ac:dyDescent="0.3">
      <c r="A15" s="14"/>
      <c r="B15" s="14"/>
      <c r="C15" s="14"/>
      <c r="D15" s="14" t="s">
        <v>63</v>
      </c>
      <c r="E15" s="15">
        <v>46213</v>
      </c>
      <c r="F15" s="14" t="s">
        <v>77</v>
      </c>
      <c r="G15" s="14" t="s">
        <v>76</v>
      </c>
      <c r="H15" s="14" t="s">
        <v>75</v>
      </c>
      <c r="I15" s="21">
        <v>75.040000000000006</v>
      </c>
    </row>
    <row r="16" spans="1:10" x14ac:dyDescent="0.3">
      <c r="A16" s="14"/>
      <c r="B16" s="14"/>
      <c r="C16" s="14"/>
      <c r="D16" s="14" t="s">
        <v>72</v>
      </c>
      <c r="E16" s="15">
        <v>46205</v>
      </c>
      <c r="F16" s="14" t="s">
        <v>79</v>
      </c>
      <c r="G16" s="14" t="s">
        <v>82</v>
      </c>
      <c r="H16" s="14" t="s">
        <v>75</v>
      </c>
      <c r="I16" s="21">
        <v>9.1728000000000005</v>
      </c>
    </row>
    <row r="17" spans="1:9" x14ac:dyDescent="0.3">
      <c r="A17" s="14"/>
      <c r="B17" s="14"/>
      <c r="C17" s="14"/>
      <c r="D17" s="14" t="s">
        <v>72</v>
      </c>
      <c r="E17" s="15">
        <v>46213</v>
      </c>
      <c r="F17" s="14" t="s">
        <v>79</v>
      </c>
      <c r="G17" s="14" t="s">
        <v>81</v>
      </c>
      <c r="H17" s="14" t="s">
        <v>75</v>
      </c>
      <c r="I17" s="21">
        <v>9.3520000000000003</v>
      </c>
    </row>
    <row r="18" spans="1:9" x14ac:dyDescent="0.3">
      <c r="A18" s="14"/>
      <c r="B18" s="14"/>
      <c r="C18" s="14"/>
      <c r="D18" s="14" t="s">
        <v>72</v>
      </c>
      <c r="E18" s="15">
        <v>46219</v>
      </c>
      <c r="F18" s="14" t="s">
        <v>79</v>
      </c>
      <c r="G18" s="14" t="s">
        <v>80</v>
      </c>
      <c r="H18" s="14" t="s">
        <v>75</v>
      </c>
      <c r="I18" s="21">
        <v>9.3520000000000003</v>
      </c>
    </row>
    <row r="19" spans="1:9" x14ac:dyDescent="0.3">
      <c r="A19" s="14"/>
      <c r="B19" s="14"/>
      <c r="C19" s="14"/>
      <c r="D19" s="14" t="s">
        <v>72</v>
      </c>
      <c r="E19" s="15">
        <v>46226</v>
      </c>
      <c r="F19" s="14" t="s">
        <v>79</v>
      </c>
      <c r="G19" s="14" t="s">
        <v>78</v>
      </c>
      <c r="H19" s="14" t="s">
        <v>75</v>
      </c>
      <c r="I19" s="21">
        <v>9.3520000000000003</v>
      </c>
    </row>
    <row r="20" spans="1:9" x14ac:dyDescent="0.3">
      <c r="A20" s="14"/>
      <c r="B20" s="14"/>
      <c r="C20" s="14"/>
      <c r="D20" s="14" t="s">
        <v>63</v>
      </c>
      <c r="E20" s="15">
        <v>46227</v>
      </c>
      <c r="F20" s="14" t="s">
        <v>77</v>
      </c>
      <c r="G20" s="14" t="s">
        <v>76</v>
      </c>
      <c r="H20" s="14" t="s">
        <v>75</v>
      </c>
      <c r="I20" s="21">
        <v>75.040000000000006</v>
      </c>
    </row>
    <row r="21" spans="1:9" x14ac:dyDescent="0.3">
      <c r="A21" s="14"/>
      <c r="B21" s="14"/>
      <c r="C21" s="14"/>
      <c r="D21" s="14" t="s">
        <v>63</v>
      </c>
      <c r="E21" s="15">
        <v>46204</v>
      </c>
      <c r="F21" s="14" t="s">
        <v>74</v>
      </c>
      <c r="G21" s="14" t="s">
        <v>73</v>
      </c>
      <c r="H21" s="14" t="s">
        <v>69</v>
      </c>
      <c r="I21" s="21">
        <v>187.38720000000001</v>
      </c>
    </row>
    <row r="22" spans="1:9" x14ac:dyDescent="0.3">
      <c r="A22" s="14"/>
      <c r="B22" s="14"/>
      <c r="C22" s="14"/>
      <c r="D22" s="14" t="s">
        <v>72</v>
      </c>
      <c r="E22" s="15">
        <v>46223</v>
      </c>
      <c r="F22" s="14" t="s">
        <v>71</v>
      </c>
      <c r="G22" s="14" t="s">
        <v>70</v>
      </c>
      <c r="H22" s="14" t="s">
        <v>69</v>
      </c>
      <c r="I22" s="21">
        <v>81.30080000000001</v>
      </c>
    </row>
    <row r="23" spans="1:9" x14ac:dyDescent="0.3">
      <c r="A23" s="14"/>
      <c r="B23" s="14"/>
      <c r="C23" s="14"/>
      <c r="D23" s="14" t="s">
        <v>63</v>
      </c>
      <c r="E23" s="15">
        <v>46234</v>
      </c>
      <c r="F23" s="14" t="s">
        <v>68</v>
      </c>
      <c r="G23" s="14" t="s">
        <v>67</v>
      </c>
      <c r="H23" s="14" t="s">
        <v>64</v>
      </c>
      <c r="I23" s="21">
        <v>1954.6016000000002</v>
      </c>
    </row>
    <row r="24" spans="1:9" x14ac:dyDescent="0.3">
      <c r="A24" s="14"/>
      <c r="B24" s="14"/>
      <c r="C24" s="14"/>
      <c r="D24" s="14" t="s">
        <v>63</v>
      </c>
      <c r="E24" s="15">
        <v>46234</v>
      </c>
      <c r="F24" s="14" t="s">
        <v>66</v>
      </c>
      <c r="G24" s="14" t="s">
        <v>65</v>
      </c>
      <c r="H24" s="14" t="s">
        <v>64</v>
      </c>
      <c r="I24" s="21">
        <v>26.678400000000003</v>
      </c>
    </row>
    <row r="25" spans="1:9" ht="15" thickBot="1" x14ac:dyDescent="0.35">
      <c r="A25" s="14"/>
      <c r="B25" s="14"/>
      <c r="C25" s="14"/>
      <c r="D25" s="14" t="s">
        <v>63</v>
      </c>
      <c r="E25" s="15">
        <v>46234</v>
      </c>
      <c r="F25" s="14" t="s">
        <v>62</v>
      </c>
      <c r="G25" s="14" t="s">
        <v>61</v>
      </c>
      <c r="H25" s="14" t="s">
        <v>60</v>
      </c>
      <c r="I25" s="21">
        <v>119.97440000000002</v>
      </c>
    </row>
    <row r="26" spans="1:9" ht="15" thickBot="1" x14ac:dyDescent="0.35">
      <c r="A26" s="14"/>
      <c r="B26" s="14"/>
      <c r="C26" s="14" t="s">
        <v>59</v>
      </c>
      <c r="D26" s="14"/>
      <c r="E26" s="15"/>
      <c r="F26" s="14"/>
      <c r="G26" s="14"/>
      <c r="H26" s="14"/>
      <c r="I26" s="23">
        <f>ROUND(SUM(I13:I25),5)</f>
        <v>2789.0911999999998</v>
      </c>
    </row>
    <row r="27" spans="1:9" ht="15" thickBot="1" x14ac:dyDescent="0.35">
      <c r="A27" s="14"/>
      <c r="B27" s="14" t="s">
        <v>58</v>
      </c>
      <c r="C27" s="14"/>
      <c r="D27" s="14"/>
      <c r="E27" s="15"/>
      <c r="F27" s="14"/>
      <c r="G27" s="14"/>
      <c r="H27" s="14"/>
      <c r="I27" s="23">
        <f>ROUND(I12+I26,5)</f>
        <v>4346.0928000000004</v>
      </c>
    </row>
    <row r="28" spans="1:9" s="11" customFormat="1" ht="10.8" thickBot="1" x14ac:dyDescent="0.25">
      <c r="A28" s="12" t="s">
        <v>51</v>
      </c>
      <c r="B28" s="12"/>
      <c r="C28" s="12"/>
      <c r="D28" s="12"/>
      <c r="E28" s="13"/>
      <c r="F28" s="12"/>
      <c r="G28" s="12"/>
      <c r="H28" s="12"/>
      <c r="I28" s="24">
        <f>I27</f>
        <v>4346.0928000000004</v>
      </c>
    </row>
    <row r="29" spans="1:9" ht="15" thickTop="1" x14ac:dyDescent="0.3"/>
  </sheetData>
  <pageMargins left="0.7" right="0.7" top="0.75" bottom="0.75" header="0.1" footer="0.3"/>
  <pageSetup orientation="portrait" verticalDpi="0" r:id="rId1"/>
  <headerFooter>
    <oddHeader>&amp;C&amp;"Arial,Bold"&amp;12 Silverado Farming Company, Inc.
&amp;"Arial,Bold"&amp;14 Unbilled Costs by Job
&amp;"Arial,Bold"&amp;10 July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Labor</vt:lpstr>
      <vt:lpstr>Expenses</vt:lpstr>
      <vt:lpstr>Expenses!Print_Titles</vt:lpstr>
      <vt:lpstr>Labor!Print_Titles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Ochoa</dc:creator>
  <cp:lastModifiedBy>Luis Ochoa</cp:lastModifiedBy>
  <dcterms:created xsi:type="dcterms:W3CDTF">2026-08-05T22:19:26Z</dcterms:created>
  <dcterms:modified xsi:type="dcterms:W3CDTF">2026-08-07T17:33:08Z</dcterms:modified>
</cp:coreProperties>
</file>