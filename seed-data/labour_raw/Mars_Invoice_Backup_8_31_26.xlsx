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S:\5) Accounting\AR\2026 Invoice Backup\08. August\Mars\"/>
    </mc:Choice>
  </mc:AlternateContent>
  <xr:revisionPtr revIDLastSave="0" documentId="13_ncr:1_{1ADECB97-C9AA-4C33-B403-83F779F4336B}" xr6:coauthVersionLast="47" xr6:coauthVersionMax="47" xr10:uidLastSave="{00000000-0000-0000-0000-000000000000}"/>
  <bookViews>
    <workbookView xWindow="-25320" yWindow="-120" windowWidth="25440" windowHeight="15270" xr2:uid="{8FC41672-E0F8-4E8D-8681-F2C29F5C12BF}"/>
  </bookViews>
  <sheets>
    <sheet name="Labor" sheetId="1" r:id="rId1"/>
    <sheet name="Expenses" sheetId="2" r:id="rId2"/>
  </sheets>
  <definedNames>
    <definedName name="_xlnm.Print_Titles" localSheetId="1">Expenses!$A:$C,Expenses!$1:$1</definedName>
    <definedName name="QB_COLUMN_16" localSheetId="1" hidden="1">Expenses!$H$1</definedName>
    <definedName name="QB_COLUMN_3" localSheetId="1" hidden="1">Expenses!$D$1</definedName>
    <definedName name="QB_COLUMN_30" localSheetId="1" hidden="1">Expenses!$I$1</definedName>
    <definedName name="QB_COLUMN_32" localSheetId="1" hidden="1">Expenses!$F$1</definedName>
    <definedName name="QB_COLUMN_4" localSheetId="1" hidden="1">Expenses!$E$1</definedName>
    <definedName name="QB_COLUMN_8" localSheetId="1" hidden="1">Expenses!$G$1</definedName>
    <definedName name="QB_DATA_0" localSheetId="1" hidden="1">Expenses!$4:$4,Expenses!$5:$5,Expenses!$6:$6,Expenses!$7:$7,Expenses!$8:$8,Expenses!$11:$11,Expenses!$12:$12,Expenses!$13:$13</definedName>
    <definedName name="QB_FORMULA_0" localSheetId="1" hidden="1">Expenses!$I$9,Expenses!$I$14,Expenses!$I$15,Expenses!$I$16</definedName>
    <definedName name="QB_ROW_31301" localSheetId="1" hidden="1">Expenses!$A$16</definedName>
    <definedName name="QB_ROW_7853010" localSheetId="1" hidden="1">Expenses!$B$2</definedName>
    <definedName name="QB_ROW_7853310" localSheetId="1" hidden="1">Expenses!$B$15</definedName>
    <definedName name="QB_ROW_7854020" localSheetId="1" hidden="1">Expenses!$C$10</definedName>
    <definedName name="QB_ROW_7854320" localSheetId="1" hidden="1">Expenses!$C$14</definedName>
    <definedName name="QB_ROW_8247020" localSheetId="1" hidden="1">Expenses!$C$3</definedName>
    <definedName name="QB_ROW_8247320" localSheetId="1" hidden="1">Expenses!$C$9</definedName>
    <definedName name="QBCANSUPPORTUPDATE" localSheetId="1">TRUE</definedName>
    <definedName name="QBCOMPANYFILENAME" localSheetId="1">"\\2016-AD\Shared Folders\Accounting\Quickbooks Data\Silverado Farming Company 2019.QBW"</definedName>
    <definedName name="QBENDDATE" localSheetId="1">20260831</definedName>
    <definedName name="QBHEADERSONSCREEN" localSheetId="1">FALSE</definedName>
    <definedName name="QBMETADATASIZE" localSheetId="1">8460</definedName>
    <definedName name="QBPRESERVECOLOR" localSheetId="1">TRUE</definedName>
    <definedName name="QBPRESERVEFONT" localSheetId="1">TRUE</definedName>
    <definedName name="QBPRESERVEROWHEIGHT" localSheetId="1">TRUE</definedName>
    <definedName name="QBPRESERVESPACE" localSheetId="1">FALSE</definedName>
    <definedName name="QBREPORTCOLAXIS" localSheetId="1">0</definedName>
    <definedName name="QBREPORTCOMPANYID" localSheetId="1">"2dd02c383a2a4181890cfd047191ba70"</definedName>
    <definedName name="QBREPORTCOMPARECOL_ANNUALBUDGET" localSheetId="1">FALSE</definedName>
    <definedName name="QBREPORTCOMPARECOL_AVGCOGS" localSheetId="1">FALSE</definedName>
    <definedName name="QBREPORTCOMPARECOL_AVGPRICE" localSheetId="1">FALSE</definedName>
    <definedName name="QBREPORTCOMPARECOL_BUDDIFF" localSheetId="1">FALSE</definedName>
    <definedName name="QBREPORTCOMPARECOL_BUDGET" localSheetId="1">FALSE</definedName>
    <definedName name="QBREPORTCOMPARECOL_BUDPCT" localSheetId="1">FALSE</definedName>
    <definedName name="QBREPORTCOMPARECOL_COGS" localSheetId="1">FALSE</definedName>
    <definedName name="QBREPORTCOMPARECOL_EXCLUDEAMOUNT" localSheetId="1">FALSE</definedName>
    <definedName name="QBREPORTCOMPARECOL_EXCLUDECURPERIOD" localSheetId="1">FALSE</definedName>
    <definedName name="QBREPORTCOMPARECOL_FORECAST" localSheetId="1">FALSE</definedName>
    <definedName name="QBREPORTCOMPARECOL_GROSSMARGIN" localSheetId="1">FALSE</definedName>
    <definedName name="QBREPORTCOMPARECOL_GROSSMARGINPCT" localSheetId="1">FALSE</definedName>
    <definedName name="QBREPORTCOMPARECOL_HOURS" localSheetId="1">FALSE</definedName>
    <definedName name="QBREPORTCOMPARECOL_PCTCOL" localSheetId="1">FALSE</definedName>
    <definedName name="QBREPORTCOMPARECOL_PCTEXPENSE" localSheetId="1">FALSE</definedName>
    <definedName name="QBREPORTCOMPARECOL_PCTINCOME" localSheetId="1">FALSE</definedName>
    <definedName name="QBREPORTCOMPARECOL_PCTOFSALES" localSheetId="1">FALSE</definedName>
    <definedName name="QBREPORTCOMPARECOL_PCTROW" localSheetId="1">FALSE</definedName>
    <definedName name="QBREPORTCOMPARECOL_PPDIFF" localSheetId="1">FALSE</definedName>
    <definedName name="QBREPORTCOMPARECOL_PPPCT" localSheetId="1">FALSE</definedName>
    <definedName name="QBREPORTCOMPARECOL_PREVPERIOD" localSheetId="1">FALSE</definedName>
    <definedName name="QBREPORTCOMPARECOL_PREVYEAR" localSheetId="1">FALSE</definedName>
    <definedName name="QBREPORTCOMPARECOL_PYDIFF" localSheetId="1">FALSE</definedName>
    <definedName name="QBREPORTCOMPARECOL_PYPCT" localSheetId="1">FALSE</definedName>
    <definedName name="QBREPORTCOMPARECOL_QTY" localSheetId="1">FALSE</definedName>
    <definedName name="QBREPORTCOMPARECOL_RATE" localSheetId="1">FALSE</definedName>
    <definedName name="QBREPORTCOMPARECOL_TRIPBILLEDMILES" localSheetId="1">FALSE</definedName>
    <definedName name="QBREPORTCOMPARECOL_TRIPBILLINGAMOUNT" localSheetId="1">FALSE</definedName>
    <definedName name="QBREPORTCOMPARECOL_TRIPMILES" localSheetId="1">FALSE</definedName>
    <definedName name="QBREPORTCOMPARECOL_TRIPNOTBILLABLEMILES" localSheetId="1">FALSE</definedName>
    <definedName name="QBREPORTCOMPARECOL_TRIPTAXDEDUCTIBLEAMOUNT" localSheetId="1">FALSE</definedName>
    <definedName name="QBREPORTCOMPARECOL_TRIPUNBILLEDMILES" localSheetId="1">FALSE</definedName>
    <definedName name="QBREPORTCOMPARECOL_YTD" localSheetId="1">FALSE</definedName>
    <definedName name="QBREPORTCOMPARECOL_YTDBUDGET" localSheetId="1">FALSE</definedName>
    <definedName name="QBREPORTCOMPARECOL_YTDPCT" localSheetId="1">FALSE</definedName>
    <definedName name="QBREPORTROWAXIS" localSheetId="1">13</definedName>
    <definedName name="QBREPORTSUBCOLAXIS" localSheetId="1">0</definedName>
    <definedName name="QBREPORTTYPE" localSheetId="1">237</definedName>
    <definedName name="QBROWHEADERS" localSheetId="1">3</definedName>
    <definedName name="QBSTARTDATE" localSheetId="1">20260801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9" i="2" l="1"/>
  <c r="I14" i="2"/>
  <c r="I15" i="2"/>
  <c r="I16" i="2" s="1"/>
  <c r="F65" i="1"/>
  <c r="D65" i="1"/>
  <c r="D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D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64" i="1" l="1"/>
  <c r="F31" i="1"/>
</calcChain>
</file>

<file path=xl/sharedStrings.xml><?xml version="1.0" encoding="utf-8"?>
<sst xmlns="http://schemas.openxmlformats.org/spreadsheetml/2006/main" count="113" uniqueCount="88">
  <si>
    <t>Mars Estates Inc.:Mars Development</t>
  </si>
  <si>
    <t>Animals:091 Animals:091.00 General Labor</t>
  </si>
  <si>
    <t>Animals:091 Animals:091.20 Operations Manager</t>
  </si>
  <si>
    <t>Canopy Management:027 Leaf/Lateral Removal:027.19 Site Manager</t>
  </si>
  <si>
    <t>Canopy Management:028 Tuck Shoots &amp; Wire movement:028.00 General Labor</t>
  </si>
  <si>
    <t>Canopy Management:028 Tuck Shoots &amp; Wire movement:028.19 Site Manager</t>
  </si>
  <si>
    <t>Canopy Management:028 Tuck Shoots &amp; Wire movement:028.20 Operations Manager</t>
  </si>
  <si>
    <t>Canopy Management:029 Hedging:029.00 General Labor</t>
  </si>
  <si>
    <t>Canopy Management:029 Hedging:029.19 Site Manager</t>
  </si>
  <si>
    <t>Canopy Management:029 Hedging:029.20 Operations Manager</t>
  </si>
  <si>
    <t>Disease Control:080 Disease Control:080.00 General Labor</t>
  </si>
  <si>
    <t>Disease Control:080 Disease Control:080.02 Tractor and Operator</t>
  </si>
  <si>
    <t>Disease Control:080 Disease Control:080.15 Clients Equipment</t>
  </si>
  <si>
    <t>Disease Control:080 Disease Control:080.16 Viticulturist</t>
  </si>
  <si>
    <t>Disease Control:080 Disease Control:080.17 Vit Tech</t>
  </si>
  <si>
    <t>Disease Control:080 Disease Control:080.18 Senior Viticulturist</t>
  </si>
  <si>
    <t>Disease Control:081 Disease Monitoring:081.17 Vit Tech</t>
  </si>
  <si>
    <t>Erosion Control:101 Winter Cover Crop:101.18 Senior Viticulturist</t>
  </si>
  <si>
    <t>Irrigation:071 Irrigation Repair:071.00 General Labor</t>
  </si>
  <si>
    <t>Irrigation:073 Irrigation:073.00 General Labor</t>
  </si>
  <si>
    <t>Irrigation:073 Irrigation:073.19 Site Manager</t>
  </si>
  <si>
    <t>Land Preparation:150 Trash Cleanup:150.00 General Labor</t>
  </si>
  <si>
    <t>Land Preparation:150 Trash Cleanup:150.20 Operations Manager</t>
  </si>
  <si>
    <t>Land Preparation:151 Picking up Rocks:151.00 General Labor</t>
  </si>
  <si>
    <t>Land Preparation:151 Picking up Rocks:151.19 Site Manager</t>
  </si>
  <si>
    <t>Land Preparation:151 Picking up Rocks:151.20 Operations Manager</t>
  </si>
  <si>
    <t>Sucker &amp; Train:042 Resuckering:042.00 General Labor</t>
  </si>
  <si>
    <t>Sucker &amp; Train:042 Resuckering:042.19 Site Manager</t>
  </si>
  <si>
    <t>Total Mars Estates Inc.:Mars Development</t>
  </si>
  <si>
    <t>Mars Estates Inc.:Mars Farming</t>
  </si>
  <si>
    <t>Crop Thinning:031 Green Drop:031.00 General Labor</t>
  </si>
  <si>
    <t>Crop Thinning:031 Green Drop:031.20 Operations Manager</t>
  </si>
  <si>
    <t>Disease Control:081 Disease Monitoring:081.18 Senior Viticulturist</t>
  </si>
  <si>
    <t>Erosion Control:101 Winter Cover Crop:101.02 Tractor and Operator</t>
  </si>
  <si>
    <t>Erosion Control:101 Winter Cover Crop:101.08 Equipment Moves</t>
  </si>
  <si>
    <t>Erosion Control:101 Winter Cover Crop:101.16 Viticulturist</t>
  </si>
  <si>
    <t>Erosion Control:101 Winter Cover Crop:101.19 Site Manager</t>
  </si>
  <si>
    <t>Erosion Control:101 Winter Cover Crop:101.20 Operations Manager</t>
  </si>
  <si>
    <t>Erosion Control:102 Prepare for Winter:102.00 General Labor</t>
  </si>
  <si>
    <t>Erosion Control:102 Prepare for Winter:102.08 Equipment Moves</t>
  </si>
  <si>
    <t>Harvest:120 Sugar Sample:120.17 Vit Tech</t>
  </si>
  <si>
    <t>Harvest:125 Harvest:125.03 Crew Leader</t>
  </si>
  <si>
    <t>Harvest:125 Harvest:125.08 Equipment Moves</t>
  </si>
  <si>
    <t>Harvest:125 Harvest:125.19 Site Manager</t>
  </si>
  <si>
    <t>Irrigation:072 Irrigation Monitoring:072.17 Vit Tech</t>
  </si>
  <si>
    <t>Irrigation:072 Irrigation Monitoring:072.18 Senior Viticulturist</t>
  </si>
  <si>
    <t>Land Preparation:150 Trash Cleanup:150.19 Site Manager</t>
  </si>
  <si>
    <t>Sucker &amp; Train:042 Resuckering:042.03 Crew Leader</t>
  </si>
  <si>
    <t>Sucker &amp; Train:042 Resuckering:042.20 Operations Manager</t>
  </si>
  <si>
    <t>Weed Control:065 Middle Weed Control:065.04 Weedeater/Hedger</t>
  </si>
  <si>
    <t>Total Mars Estates Inc.:Mars Farming</t>
  </si>
  <si>
    <t>Activity</t>
  </si>
  <si>
    <t>Duration</t>
  </si>
  <si>
    <t>Rate</t>
  </si>
  <si>
    <t>Total</t>
  </si>
  <si>
    <t>Notes</t>
  </si>
  <si>
    <t>TOTAL</t>
  </si>
  <si>
    <t>Total Mars Estates Inc.</t>
  </si>
  <si>
    <t>Total Mars Farming</t>
  </si>
  <si>
    <t>6120 · Toilet, Other</t>
  </si>
  <si>
    <t>August Bathrooms</t>
  </si>
  <si>
    <t>Harvest Sanitation, Inc.</t>
  </si>
  <si>
    <t>Bill</t>
  </si>
  <si>
    <t>6018 · Harvest</t>
  </si>
  <si>
    <t>Grape Maturity Monitoring Panel-Dyostem (2)</t>
  </si>
  <si>
    <t>ETS Laboratories, Inc</t>
  </si>
  <si>
    <t>6016 · Fertilize</t>
  </si>
  <si>
    <t>A&amp;L Labs West - Brenna Quigley Soil Testing Project - Analysis (59%)</t>
  </si>
  <si>
    <t>Matrix Sciences International Inc.</t>
  </si>
  <si>
    <t>Credit Card Charge</t>
  </si>
  <si>
    <t>Mars Farming</t>
  </si>
  <si>
    <t>Total Mars Development</t>
  </si>
  <si>
    <t>6114 · Disease Control</t>
  </si>
  <si>
    <t>Coveralls, Masks, Gloves - for Disease Control</t>
  </si>
  <si>
    <t>Napa Glove and Safety, Inc.</t>
  </si>
  <si>
    <t>Serenade, Sulfur, Oxidate, Oso, Regalia, Sonata</t>
  </si>
  <si>
    <t>Wilbur-Ellis Company</t>
  </si>
  <si>
    <t>Diesel (15 Gallons) on 8/27</t>
  </si>
  <si>
    <t>Napa Valley Petroleum Inc.</t>
  </si>
  <si>
    <t>A&amp;L Labs West - Brenna Quigley Soil Testing Project - Analysis  (41%)</t>
  </si>
  <si>
    <t>Mars Development</t>
  </si>
  <si>
    <t>Mars Estates Inc.</t>
  </si>
  <si>
    <t>Amount</t>
  </si>
  <si>
    <t>Account</t>
  </si>
  <si>
    <t>Memo</t>
  </si>
  <si>
    <t>Source Name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</si>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</sst>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#,##0.00;\-#,##0.00"/>
    <numFmt numFmtId="165" formatCode="mm/dd/yyyy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color rgb="FF323232"/>
      <name val="Arial"/>
      <family val="2"/>
    </font>
    <font>
      <sz val="8"/>
      <color rgb="FF323232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2">
    <xf numFmtId="0" fontId="0" fillId="0" borderId="0" xfId="0"/>
    <xf numFmtId="49" fontId="2" fillId="0" borderId="0" xfId="0" applyNumberFormat="1" applyFont="1"/>
    <xf numFmtId="164" fontId="3" fillId="0" borderId="0" xfId="0" applyNumberFormat="1" applyFont="1"/>
    <xf numFmtId="49" fontId="2" fillId="0" borderId="0" xfId="0" applyNumberFormat="1" applyFont="1" applyAlignment="1">
      <alignment wrapText="1"/>
    </xf>
    <xf numFmtId="164" fontId="3" fillId="0" borderId="1" xfId="0" applyNumberFormat="1" applyFont="1" applyBorder="1"/>
    <xf numFmtId="49" fontId="2" fillId="0" borderId="0" xfId="0" applyNumberFormat="1" applyFont="1" applyAlignment="1">
      <alignment horizontal="center"/>
    </xf>
    <xf numFmtId="2" fontId="2" fillId="0" borderId="2" xfId="0" applyNumberFormat="1" applyFont="1" applyBorder="1" applyAlignment="1">
      <alignment horizontal="center"/>
    </xf>
    <xf numFmtId="44" fontId="2" fillId="0" borderId="2" xfId="1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2" fontId="2" fillId="0" borderId="0" xfId="0" applyNumberFormat="1" applyFont="1" applyAlignment="1">
      <alignment horizontal="center"/>
    </xf>
    <xf numFmtId="44" fontId="2" fillId="0" borderId="0" xfId="1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164" fontId="2" fillId="0" borderId="3" xfId="0" applyNumberFormat="1" applyFont="1" applyBorder="1"/>
    <xf numFmtId="44" fontId="0" fillId="0" borderId="0" xfId="1" applyFont="1"/>
    <xf numFmtId="0" fontId="4" fillId="0" borderId="0" xfId="0" applyFont="1"/>
    <xf numFmtId="44" fontId="4" fillId="0" borderId="3" xfId="1" applyFont="1" applyBorder="1"/>
    <xf numFmtId="49" fontId="4" fillId="0" borderId="0" xfId="0" applyNumberFormat="1" applyFont="1"/>
    <xf numFmtId="165" fontId="4" fillId="0" borderId="0" xfId="0" applyNumberFormat="1" applyFont="1"/>
    <xf numFmtId="44" fontId="5" fillId="0" borderId="4" xfId="1" applyFont="1" applyBorder="1"/>
    <xf numFmtId="49" fontId="5" fillId="0" borderId="0" xfId="0" applyNumberFormat="1" applyFont="1"/>
    <xf numFmtId="165" fontId="5" fillId="0" borderId="0" xfId="0" applyNumberFormat="1" applyFont="1"/>
    <xf numFmtId="44" fontId="5" fillId="0" borderId="0" xfId="1" applyFont="1" applyBorder="1"/>
    <xf numFmtId="44" fontId="5" fillId="0" borderId="0" xfId="1" applyFont="1"/>
    <xf numFmtId="44" fontId="4" fillId="0" borderId="0" xfId="1" applyFont="1"/>
    <xf numFmtId="44" fontId="5" fillId="0" borderId="1" xfId="1" applyFont="1" applyBorder="1"/>
    <xf numFmtId="44" fontId="4" fillId="0" borderId="2" xfId="1" applyFont="1" applyBorder="1" applyAlignment="1">
      <alignment horizontal="center"/>
    </xf>
    <xf numFmtId="49" fontId="4" fillId="0" borderId="2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44" fontId="3" fillId="0" borderId="0" xfId="1" applyFont="1"/>
    <xf numFmtId="44" fontId="3" fillId="0" borderId="1" xfId="1" applyFont="1" applyBorder="1"/>
    <xf numFmtId="44" fontId="2" fillId="0" borderId="3" xfId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24969-DA34-4BE9-8446-40BCCE1EFA76}">
  <dimension ref="A1:G66"/>
  <sheetViews>
    <sheetView tabSelected="1" workbookViewId="0">
      <selection activeCell="F6" sqref="F6"/>
    </sheetView>
  </sheetViews>
  <sheetFormatPr defaultRowHeight="14.4" x14ac:dyDescent="0.3"/>
  <cols>
    <col min="1" max="1" width="2.109375" customWidth="1"/>
    <col min="2" max="2" width="2.77734375" customWidth="1"/>
    <col min="3" max="3" width="67.109375" bestFit="1" customWidth="1"/>
    <col min="6" max="6" width="8.88671875" style="14"/>
  </cols>
  <sheetData>
    <row r="1" spans="2:7" s="9" customFormat="1" ht="15" thickBot="1" x14ac:dyDescent="0.35">
      <c r="B1" s="5"/>
      <c r="C1" s="6" t="s">
        <v>51</v>
      </c>
      <c r="D1" s="6" t="s">
        <v>52</v>
      </c>
      <c r="E1" s="6" t="s">
        <v>53</v>
      </c>
      <c r="F1" s="7" t="s">
        <v>54</v>
      </c>
      <c r="G1" s="8" t="s">
        <v>55</v>
      </c>
    </row>
    <row r="2" spans="2:7" s="9" customFormat="1" ht="15" thickTop="1" x14ac:dyDescent="0.3">
      <c r="B2" s="5"/>
      <c r="C2" s="10"/>
      <c r="D2" s="10"/>
      <c r="E2" s="10"/>
      <c r="F2" s="11"/>
      <c r="G2" s="12"/>
    </row>
    <row r="3" spans="2:7" x14ac:dyDescent="0.3">
      <c r="B3" s="1" t="s">
        <v>0</v>
      </c>
      <c r="C3" s="1"/>
      <c r="D3" s="2"/>
      <c r="F3" s="29"/>
      <c r="G3" s="3"/>
    </row>
    <row r="4" spans="2:7" x14ac:dyDescent="0.3">
      <c r="B4" s="1"/>
      <c r="C4" s="1" t="s">
        <v>1</v>
      </c>
      <c r="D4" s="2">
        <v>46</v>
      </c>
      <c r="E4" s="2">
        <v>39.75</v>
      </c>
      <c r="F4" s="29">
        <f t="shared" ref="F4:F30" si="0">ROUND(IFERROR((D4*E4),""),2)</f>
        <v>1828.5</v>
      </c>
      <c r="G4" s="3"/>
    </row>
    <row r="5" spans="2:7" x14ac:dyDescent="0.3">
      <c r="B5" s="1"/>
      <c r="C5" s="1" t="s">
        <v>2</v>
      </c>
      <c r="D5" s="2">
        <v>1</v>
      </c>
      <c r="E5" s="2">
        <v>127.75</v>
      </c>
      <c r="F5" s="29">
        <f t="shared" si="0"/>
        <v>127.75</v>
      </c>
      <c r="G5" s="3"/>
    </row>
    <row r="6" spans="2:7" x14ac:dyDescent="0.3">
      <c r="B6" s="1"/>
      <c r="C6" s="1" t="s">
        <v>3</v>
      </c>
      <c r="D6" s="2">
        <v>1.75</v>
      </c>
      <c r="E6" s="2">
        <v>79.75</v>
      </c>
      <c r="F6" s="29">
        <f t="shared" si="0"/>
        <v>139.56</v>
      </c>
      <c r="G6" s="3"/>
    </row>
    <row r="7" spans="2:7" x14ac:dyDescent="0.3">
      <c r="B7" s="1"/>
      <c r="C7" s="1" t="s">
        <v>4</v>
      </c>
      <c r="D7" s="2">
        <v>38</v>
      </c>
      <c r="E7" s="2">
        <v>41.75</v>
      </c>
      <c r="F7" s="29">
        <f t="shared" si="0"/>
        <v>1586.5</v>
      </c>
      <c r="G7" s="3"/>
    </row>
    <row r="8" spans="2:7" x14ac:dyDescent="0.3">
      <c r="B8" s="1"/>
      <c r="C8" s="1" t="s">
        <v>5</v>
      </c>
      <c r="D8" s="2">
        <v>6.5</v>
      </c>
      <c r="E8" s="2">
        <v>79.75</v>
      </c>
      <c r="F8" s="29">
        <f t="shared" si="0"/>
        <v>518.38</v>
      </c>
      <c r="G8" s="3"/>
    </row>
    <row r="9" spans="2:7" x14ac:dyDescent="0.3">
      <c r="B9" s="1"/>
      <c r="C9" s="1" t="s">
        <v>6</v>
      </c>
      <c r="D9" s="2">
        <v>0.75</v>
      </c>
      <c r="E9" s="2">
        <v>127.75</v>
      </c>
      <c r="F9" s="29">
        <f t="shared" si="0"/>
        <v>95.81</v>
      </c>
      <c r="G9" s="3"/>
    </row>
    <row r="10" spans="2:7" x14ac:dyDescent="0.3">
      <c r="B10" s="1"/>
      <c r="C10" s="1" t="s">
        <v>7</v>
      </c>
      <c r="D10" s="2">
        <v>10.5</v>
      </c>
      <c r="E10" s="2">
        <v>41.75</v>
      </c>
      <c r="F10" s="29">
        <f t="shared" si="0"/>
        <v>438.38</v>
      </c>
      <c r="G10" s="3"/>
    </row>
    <row r="11" spans="2:7" x14ac:dyDescent="0.3">
      <c r="B11" s="1"/>
      <c r="C11" s="1" t="s">
        <v>8</v>
      </c>
      <c r="D11" s="2">
        <v>2</v>
      </c>
      <c r="E11" s="2">
        <v>79.75</v>
      </c>
      <c r="F11" s="29">
        <f t="shared" si="0"/>
        <v>159.5</v>
      </c>
      <c r="G11" s="3"/>
    </row>
    <row r="12" spans="2:7" x14ac:dyDescent="0.3">
      <c r="B12" s="1"/>
      <c r="C12" s="1" t="s">
        <v>9</v>
      </c>
      <c r="D12" s="2">
        <v>0.25</v>
      </c>
      <c r="E12" s="2">
        <v>127.75</v>
      </c>
      <c r="F12" s="29">
        <f t="shared" si="0"/>
        <v>31.94</v>
      </c>
      <c r="G12" s="3"/>
    </row>
    <row r="13" spans="2:7" x14ac:dyDescent="0.3">
      <c r="B13" s="1"/>
      <c r="C13" s="1" t="s">
        <v>10</v>
      </c>
      <c r="D13" s="2">
        <v>2.5</v>
      </c>
      <c r="E13" s="2">
        <v>39.75</v>
      </c>
      <c r="F13" s="29">
        <f t="shared" si="0"/>
        <v>99.38</v>
      </c>
      <c r="G13" s="3"/>
    </row>
    <row r="14" spans="2:7" x14ac:dyDescent="0.3">
      <c r="B14" s="1"/>
      <c r="C14" s="1" t="s">
        <v>11</v>
      </c>
      <c r="D14" s="2">
        <v>4</v>
      </c>
      <c r="E14" s="2">
        <v>102.75</v>
      </c>
      <c r="F14" s="29">
        <f t="shared" si="0"/>
        <v>411</v>
      </c>
      <c r="G14" s="3"/>
    </row>
    <row r="15" spans="2:7" x14ac:dyDescent="0.3">
      <c r="B15" s="1"/>
      <c r="C15" s="1" t="s">
        <v>12</v>
      </c>
      <c r="D15" s="2">
        <v>13</v>
      </c>
      <c r="E15" s="2">
        <v>52.75</v>
      </c>
      <c r="F15" s="29">
        <f t="shared" si="0"/>
        <v>685.75</v>
      </c>
      <c r="G15" s="3"/>
    </row>
    <row r="16" spans="2:7" x14ac:dyDescent="0.3">
      <c r="B16" s="1"/>
      <c r="C16" s="1" t="s">
        <v>13</v>
      </c>
      <c r="D16" s="2">
        <v>2</v>
      </c>
      <c r="E16" s="2">
        <v>102.75</v>
      </c>
      <c r="F16" s="29">
        <f t="shared" si="0"/>
        <v>205.5</v>
      </c>
      <c r="G16" s="3"/>
    </row>
    <row r="17" spans="2:7" x14ac:dyDescent="0.3">
      <c r="B17" s="1"/>
      <c r="C17" s="1" t="s">
        <v>14</v>
      </c>
      <c r="D17" s="2">
        <v>4</v>
      </c>
      <c r="E17" s="2">
        <v>67.75</v>
      </c>
      <c r="F17" s="29">
        <f t="shared" si="0"/>
        <v>271</v>
      </c>
      <c r="G17" s="3"/>
    </row>
    <row r="18" spans="2:7" x14ac:dyDescent="0.3">
      <c r="B18" s="1"/>
      <c r="C18" s="1" t="s">
        <v>15</v>
      </c>
      <c r="D18" s="2">
        <v>1.5</v>
      </c>
      <c r="E18" s="2">
        <v>127.75</v>
      </c>
      <c r="F18" s="29">
        <f t="shared" si="0"/>
        <v>191.63</v>
      </c>
      <c r="G18" s="3"/>
    </row>
    <row r="19" spans="2:7" x14ac:dyDescent="0.3">
      <c r="B19" s="1"/>
      <c r="C19" s="1" t="s">
        <v>16</v>
      </c>
      <c r="D19" s="2">
        <v>0.5</v>
      </c>
      <c r="E19" s="2">
        <v>67.75</v>
      </c>
      <c r="F19" s="29">
        <f t="shared" si="0"/>
        <v>33.880000000000003</v>
      </c>
      <c r="G19" s="3"/>
    </row>
    <row r="20" spans="2:7" x14ac:dyDescent="0.3">
      <c r="B20" s="1"/>
      <c r="C20" s="1" t="s">
        <v>17</v>
      </c>
      <c r="D20" s="2">
        <v>0.57999999999999996</v>
      </c>
      <c r="E20" s="2">
        <v>127.75</v>
      </c>
      <c r="F20" s="29">
        <f t="shared" si="0"/>
        <v>74.099999999999994</v>
      </c>
      <c r="G20" s="3"/>
    </row>
    <row r="21" spans="2:7" x14ac:dyDescent="0.3">
      <c r="B21" s="1"/>
      <c r="C21" s="1" t="s">
        <v>18</v>
      </c>
      <c r="D21" s="2">
        <v>2.5</v>
      </c>
      <c r="E21" s="2">
        <v>39.75</v>
      </c>
      <c r="F21" s="29">
        <f t="shared" si="0"/>
        <v>99.38</v>
      </c>
      <c r="G21" s="3"/>
    </row>
    <row r="22" spans="2:7" x14ac:dyDescent="0.3">
      <c r="B22" s="1"/>
      <c r="C22" s="1" t="s">
        <v>19</v>
      </c>
      <c r="D22" s="2">
        <v>2</v>
      </c>
      <c r="E22" s="2">
        <v>39.75</v>
      </c>
      <c r="F22" s="29">
        <f t="shared" si="0"/>
        <v>79.5</v>
      </c>
      <c r="G22" s="3"/>
    </row>
    <row r="23" spans="2:7" x14ac:dyDescent="0.3">
      <c r="B23" s="1"/>
      <c r="C23" s="1" t="s">
        <v>20</v>
      </c>
      <c r="D23" s="2">
        <v>1.5</v>
      </c>
      <c r="E23" s="2">
        <v>77.75</v>
      </c>
      <c r="F23" s="29">
        <f t="shared" si="0"/>
        <v>116.63</v>
      </c>
      <c r="G23" s="3"/>
    </row>
    <row r="24" spans="2:7" x14ac:dyDescent="0.3">
      <c r="B24" s="1"/>
      <c r="C24" s="1" t="s">
        <v>21</v>
      </c>
      <c r="D24" s="2">
        <v>9</v>
      </c>
      <c r="E24" s="2">
        <v>39.75</v>
      </c>
      <c r="F24" s="29">
        <f t="shared" si="0"/>
        <v>357.75</v>
      </c>
      <c r="G24" s="3"/>
    </row>
    <row r="25" spans="2:7" x14ac:dyDescent="0.3">
      <c r="B25" s="1"/>
      <c r="C25" s="1" t="s">
        <v>22</v>
      </c>
      <c r="D25" s="2">
        <v>0.25</v>
      </c>
      <c r="E25" s="2">
        <v>127.75</v>
      </c>
      <c r="F25" s="29">
        <f t="shared" si="0"/>
        <v>31.94</v>
      </c>
      <c r="G25" s="3"/>
    </row>
    <row r="26" spans="2:7" x14ac:dyDescent="0.3">
      <c r="B26" s="1"/>
      <c r="C26" s="1" t="s">
        <v>23</v>
      </c>
      <c r="D26" s="2">
        <v>41.5</v>
      </c>
      <c r="E26" s="2">
        <v>39.75</v>
      </c>
      <c r="F26" s="29">
        <f t="shared" si="0"/>
        <v>1649.63</v>
      </c>
      <c r="G26" s="3"/>
    </row>
    <row r="27" spans="2:7" x14ac:dyDescent="0.3">
      <c r="B27" s="1"/>
      <c r="C27" s="1" t="s">
        <v>24</v>
      </c>
      <c r="D27" s="2">
        <v>10</v>
      </c>
      <c r="E27" s="2">
        <v>77.75</v>
      </c>
      <c r="F27" s="29">
        <f t="shared" si="0"/>
        <v>777.5</v>
      </c>
      <c r="G27" s="3"/>
    </row>
    <row r="28" spans="2:7" x14ac:dyDescent="0.3">
      <c r="B28" s="1"/>
      <c r="C28" s="1" t="s">
        <v>25</v>
      </c>
      <c r="D28" s="2">
        <v>0.75</v>
      </c>
      <c r="E28" s="2">
        <v>127.75</v>
      </c>
      <c r="F28" s="29">
        <f t="shared" si="0"/>
        <v>95.81</v>
      </c>
      <c r="G28" s="3"/>
    </row>
    <row r="29" spans="2:7" x14ac:dyDescent="0.3">
      <c r="B29" s="1"/>
      <c r="C29" s="1" t="s">
        <v>26</v>
      </c>
      <c r="D29" s="2">
        <v>4.5</v>
      </c>
      <c r="E29" s="2">
        <v>41.75</v>
      </c>
      <c r="F29" s="29">
        <f t="shared" si="0"/>
        <v>187.88</v>
      </c>
      <c r="G29" s="3"/>
    </row>
    <row r="30" spans="2:7" ht="15" thickBot="1" x14ac:dyDescent="0.35">
      <c r="B30" s="1"/>
      <c r="C30" s="1" t="s">
        <v>27</v>
      </c>
      <c r="D30" s="4">
        <v>6</v>
      </c>
      <c r="E30" s="2">
        <v>79.75</v>
      </c>
      <c r="F30" s="30">
        <f t="shared" si="0"/>
        <v>478.5</v>
      </c>
      <c r="G30" s="3"/>
    </row>
    <row r="31" spans="2:7" x14ac:dyDescent="0.3">
      <c r="B31" s="1" t="s">
        <v>28</v>
      </c>
      <c r="C31" s="1"/>
      <c r="D31" s="2">
        <f>ROUND(SUM(D3:D30),5)</f>
        <v>212.83</v>
      </c>
      <c r="E31" s="2"/>
      <c r="F31" s="29">
        <f>ROUND(SUM(F3:F30),5)</f>
        <v>10773.08</v>
      </c>
      <c r="G31" s="3"/>
    </row>
    <row r="32" spans="2:7" x14ac:dyDescent="0.3">
      <c r="B32" s="1" t="s">
        <v>29</v>
      </c>
      <c r="C32" s="1"/>
      <c r="D32" s="2"/>
      <c r="F32" s="29"/>
      <c r="G32" s="3"/>
    </row>
    <row r="33" spans="2:7" x14ac:dyDescent="0.3">
      <c r="B33" s="1"/>
      <c r="C33" s="1" t="s">
        <v>7</v>
      </c>
      <c r="D33" s="2">
        <v>18.25</v>
      </c>
      <c r="E33" s="2">
        <v>41.75</v>
      </c>
      <c r="F33" s="29">
        <f t="shared" ref="F33:F63" si="1">ROUND(IFERROR((D33*E33),""),2)</f>
        <v>761.94</v>
      </c>
      <c r="G33" s="3"/>
    </row>
    <row r="34" spans="2:7" x14ac:dyDescent="0.3">
      <c r="B34" s="1"/>
      <c r="C34" s="1" t="s">
        <v>8</v>
      </c>
      <c r="D34" s="2">
        <v>5</v>
      </c>
      <c r="E34" s="2">
        <v>79.75</v>
      </c>
      <c r="F34" s="29">
        <f t="shared" si="1"/>
        <v>398.75</v>
      </c>
      <c r="G34" s="3"/>
    </row>
    <row r="35" spans="2:7" x14ac:dyDescent="0.3">
      <c r="B35" s="1"/>
      <c r="C35" s="1" t="s">
        <v>9</v>
      </c>
      <c r="D35" s="2">
        <v>0.25</v>
      </c>
      <c r="E35" s="2">
        <v>127.75</v>
      </c>
      <c r="F35" s="29">
        <f t="shared" si="1"/>
        <v>31.94</v>
      </c>
      <c r="G35" s="3"/>
    </row>
    <row r="36" spans="2:7" x14ac:dyDescent="0.3">
      <c r="B36" s="1"/>
      <c r="C36" s="1" t="s">
        <v>30</v>
      </c>
      <c r="D36" s="2">
        <v>23</v>
      </c>
      <c r="E36" s="2">
        <v>39.75</v>
      </c>
      <c r="F36" s="29">
        <f t="shared" si="1"/>
        <v>914.25</v>
      </c>
      <c r="G36" s="3"/>
    </row>
    <row r="37" spans="2:7" x14ac:dyDescent="0.3">
      <c r="B37" s="1"/>
      <c r="C37" s="1" t="s">
        <v>31</v>
      </c>
      <c r="D37" s="2">
        <v>0.25</v>
      </c>
      <c r="E37" s="2">
        <v>127.75</v>
      </c>
      <c r="F37" s="29">
        <f t="shared" si="1"/>
        <v>31.94</v>
      </c>
      <c r="G37" s="3"/>
    </row>
    <row r="38" spans="2:7" x14ac:dyDescent="0.3">
      <c r="B38" s="1"/>
      <c r="C38" s="1" t="s">
        <v>10</v>
      </c>
      <c r="D38" s="2">
        <v>1</v>
      </c>
      <c r="E38" s="2">
        <v>39.75</v>
      </c>
      <c r="F38" s="29">
        <f t="shared" si="1"/>
        <v>39.75</v>
      </c>
      <c r="G38" s="3"/>
    </row>
    <row r="39" spans="2:7" x14ac:dyDescent="0.3">
      <c r="B39" s="1"/>
      <c r="C39" s="1" t="s">
        <v>16</v>
      </c>
      <c r="D39" s="2">
        <v>1.67</v>
      </c>
      <c r="E39" s="2">
        <v>67.75</v>
      </c>
      <c r="F39" s="29">
        <f t="shared" si="1"/>
        <v>113.14</v>
      </c>
      <c r="G39" s="3"/>
    </row>
    <row r="40" spans="2:7" x14ac:dyDescent="0.3">
      <c r="B40" s="1"/>
      <c r="C40" s="1" t="s">
        <v>32</v>
      </c>
      <c r="D40" s="2">
        <v>1.5</v>
      </c>
      <c r="E40" s="2">
        <v>127.75</v>
      </c>
      <c r="F40" s="29">
        <f t="shared" si="1"/>
        <v>191.63</v>
      </c>
      <c r="G40" s="3"/>
    </row>
    <row r="41" spans="2:7" x14ac:dyDescent="0.3">
      <c r="B41" s="1"/>
      <c r="C41" s="1" t="s">
        <v>33</v>
      </c>
      <c r="D41" s="2">
        <v>8</v>
      </c>
      <c r="E41" s="2">
        <v>102.75</v>
      </c>
      <c r="F41" s="29">
        <f t="shared" si="1"/>
        <v>822</v>
      </c>
      <c r="G41" s="3"/>
    </row>
    <row r="42" spans="2:7" x14ac:dyDescent="0.3">
      <c r="B42" s="1"/>
      <c r="C42" s="1" t="s">
        <v>34</v>
      </c>
      <c r="D42" s="2">
        <v>2</v>
      </c>
      <c r="E42" s="2">
        <v>102.75</v>
      </c>
      <c r="F42" s="29">
        <f t="shared" si="1"/>
        <v>205.5</v>
      </c>
      <c r="G42" s="3"/>
    </row>
    <row r="43" spans="2:7" x14ac:dyDescent="0.3">
      <c r="B43" s="1"/>
      <c r="C43" s="1" t="s">
        <v>35</v>
      </c>
      <c r="D43" s="2">
        <v>0.43</v>
      </c>
      <c r="E43" s="2">
        <v>102.75</v>
      </c>
      <c r="F43" s="29">
        <f t="shared" si="1"/>
        <v>44.18</v>
      </c>
      <c r="G43" s="3"/>
    </row>
    <row r="44" spans="2:7" x14ac:dyDescent="0.3">
      <c r="B44" s="1"/>
      <c r="C44" s="1" t="s">
        <v>17</v>
      </c>
      <c r="D44" s="2">
        <v>1.08</v>
      </c>
      <c r="E44" s="2">
        <v>127.75</v>
      </c>
      <c r="F44" s="29">
        <f t="shared" si="1"/>
        <v>137.97</v>
      </c>
      <c r="G44" s="3"/>
    </row>
    <row r="45" spans="2:7" x14ac:dyDescent="0.3">
      <c r="B45" s="1"/>
      <c r="C45" s="1" t="s">
        <v>36</v>
      </c>
      <c r="D45" s="2">
        <v>2.5</v>
      </c>
      <c r="E45" s="2">
        <v>77.75</v>
      </c>
      <c r="F45" s="29">
        <f t="shared" si="1"/>
        <v>194.38</v>
      </c>
      <c r="G45" s="3"/>
    </row>
    <row r="46" spans="2:7" x14ac:dyDescent="0.3">
      <c r="B46" s="1"/>
      <c r="C46" s="1" t="s">
        <v>37</v>
      </c>
      <c r="D46" s="2">
        <v>0.25</v>
      </c>
      <c r="E46" s="2">
        <v>127.75</v>
      </c>
      <c r="F46" s="29">
        <f t="shared" si="1"/>
        <v>31.94</v>
      </c>
      <c r="G46" s="3"/>
    </row>
    <row r="47" spans="2:7" x14ac:dyDescent="0.3">
      <c r="B47" s="1"/>
      <c r="C47" s="1" t="s">
        <v>38</v>
      </c>
      <c r="D47" s="2">
        <v>6</v>
      </c>
      <c r="E47" s="2">
        <v>39.75</v>
      </c>
      <c r="F47" s="29">
        <f t="shared" si="1"/>
        <v>238.5</v>
      </c>
      <c r="G47" s="3"/>
    </row>
    <row r="48" spans="2:7" x14ac:dyDescent="0.3">
      <c r="B48" s="1"/>
      <c r="C48" s="1" t="s">
        <v>39</v>
      </c>
      <c r="D48" s="2">
        <v>6.5</v>
      </c>
      <c r="E48" s="2">
        <v>102.75</v>
      </c>
      <c r="F48" s="29">
        <f t="shared" si="1"/>
        <v>667.88</v>
      </c>
      <c r="G48" s="3"/>
    </row>
    <row r="49" spans="2:7" x14ac:dyDescent="0.3">
      <c r="B49" s="1"/>
      <c r="C49" s="1" t="s">
        <v>40</v>
      </c>
      <c r="D49" s="2">
        <v>2</v>
      </c>
      <c r="E49" s="2">
        <v>67.75</v>
      </c>
      <c r="F49" s="29">
        <f t="shared" si="1"/>
        <v>135.5</v>
      </c>
      <c r="G49" s="3"/>
    </row>
    <row r="50" spans="2:7" x14ac:dyDescent="0.3">
      <c r="B50" s="1"/>
      <c r="C50" s="1" t="s">
        <v>41</v>
      </c>
      <c r="D50" s="2">
        <v>3</v>
      </c>
      <c r="E50" s="2">
        <v>57.75</v>
      </c>
      <c r="F50" s="29">
        <f t="shared" si="1"/>
        <v>173.25</v>
      </c>
      <c r="G50" s="3"/>
    </row>
    <row r="51" spans="2:7" x14ac:dyDescent="0.3">
      <c r="B51" s="1"/>
      <c r="C51" s="1" t="s">
        <v>42</v>
      </c>
      <c r="D51" s="2">
        <v>7.5</v>
      </c>
      <c r="E51" s="2">
        <v>117.75</v>
      </c>
      <c r="F51" s="29">
        <f t="shared" si="1"/>
        <v>883.13</v>
      </c>
      <c r="G51" s="3"/>
    </row>
    <row r="52" spans="2:7" x14ac:dyDescent="0.3">
      <c r="B52" s="1"/>
      <c r="C52" s="1" t="s">
        <v>43</v>
      </c>
      <c r="D52" s="2">
        <v>4</v>
      </c>
      <c r="E52" s="2">
        <v>82.75</v>
      </c>
      <c r="F52" s="29">
        <f t="shared" si="1"/>
        <v>331</v>
      </c>
      <c r="G52" s="3"/>
    </row>
    <row r="53" spans="2:7" x14ac:dyDescent="0.3">
      <c r="B53" s="1"/>
      <c r="C53" s="1" t="s">
        <v>18</v>
      </c>
      <c r="D53" s="2">
        <v>8</v>
      </c>
      <c r="E53" s="2">
        <v>39.75</v>
      </c>
      <c r="F53" s="29">
        <f t="shared" si="1"/>
        <v>318</v>
      </c>
      <c r="G53" s="3"/>
    </row>
    <row r="54" spans="2:7" x14ac:dyDescent="0.3">
      <c r="B54" s="1"/>
      <c r="C54" s="1" t="s">
        <v>44</v>
      </c>
      <c r="D54" s="2">
        <v>0.25</v>
      </c>
      <c r="E54" s="2">
        <v>67.75</v>
      </c>
      <c r="F54" s="29">
        <f t="shared" si="1"/>
        <v>16.940000000000001</v>
      </c>
      <c r="G54" s="3"/>
    </row>
    <row r="55" spans="2:7" x14ac:dyDescent="0.3">
      <c r="B55" s="1"/>
      <c r="C55" s="1" t="s">
        <v>45</v>
      </c>
      <c r="D55" s="2">
        <v>0.75</v>
      </c>
      <c r="E55" s="2">
        <v>127.75</v>
      </c>
      <c r="F55" s="29">
        <f t="shared" si="1"/>
        <v>95.81</v>
      </c>
      <c r="G55" s="3"/>
    </row>
    <row r="56" spans="2:7" x14ac:dyDescent="0.3">
      <c r="B56" s="1"/>
      <c r="C56" s="1" t="s">
        <v>19</v>
      </c>
      <c r="D56" s="2">
        <v>6.5</v>
      </c>
      <c r="E56" s="2">
        <v>39.75</v>
      </c>
      <c r="F56" s="29">
        <f t="shared" si="1"/>
        <v>258.38</v>
      </c>
      <c r="G56" s="3"/>
    </row>
    <row r="57" spans="2:7" x14ac:dyDescent="0.3">
      <c r="B57" s="1"/>
      <c r="C57" s="1" t="s">
        <v>20</v>
      </c>
      <c r="D57" s="2">
        <v>2.1800000000000002</v>
      </c>
      <c r="E57" s="2">
        <v>77.75</v>
      </c>
      <c r="F57" s="29">
        <f t="shared" si="1"/>
        <v>169.5</v>
      </c>
      <c r="G57" s="3"/>
    </row>
    <row r="58" spans="2:7" x14ac:dyDescent="0.3">
      <c r="B58" s="1"/>
      <c r="C58" s="1" t="s">
        <v>46</v>
      </c>
      <c r="D58" s="2">
        <v>5.5</v>
      </c>
      <c r="E58" s="2">
        <v>77.75</v>
      </c>
      <c r="F58" s="29">
        <f t="shared" si="1"/>
        <v>427.63</v>
      </c>
      <c r="G58" s="3"/>
    </row>
    <row r="59" spans="2:7" x14ac:dyDescent="0.3">
      <c r="B59" s="1"/>
      <c r="C59" s="1" t="s">
        <v>26</v>
      </c>
      <c r="D59" s="2">
        <v>16</v>
      </c>
      <c r="E59" s="2">
        <v>41.75</v>
      </c>
      <c r="F59" s="29">
        <f t="shared" si="1"/>
        <v>668</v>
      </c>
      <c r="G59" s="3"/>
    </row>
    <row r="60" spans="2:7" x14ac:dyDescent="0.3">
      <c r="B60" s="1"/>
      <c r="C60" s="1" t="s">
        <v>47</v>
      </c>
      <c r="D60" s="2">
        <v>8.5</v>
      </c>
      <c r="E60" s="2">
        <v>54.75</v>
      </c>
      <c r="F60" s="29">
        <f t="shared" si="1"/>
        <v>465.38</v>
      </c>
      <c r="G60" s="3"/>
    </row>
    <row r="61" spans="2:7" x14ac:dyDescent="0.3">
      <c r="B61" s="1"/>
      <c r="C61" s="1" t="s">
        <v>27</v>
      </c>
      <c r="D61" s="2">
        <v>5.5</v>
      </c>
      <c r="E61" s="2">
        <v>79.75</v>
      </c>
      <c r="F61" s="29">
        <f t="shared" si="1"/>
        <v>438.63</v>
      </c>
      <c r="G61" s="3"/>
    </row>
    <row r="62" spans="2:7" x14ac:dyDescent="0.3">
      <c r="B62" s="1"/>
      <c r="C62" s="1" t="s">
        <v>48</v>
      </c>
      <c r="D62" s="2">
        <v>0.5</v>
      </c>
      <c r="E62" s="2">
        <v>127.75</v>
      </c>
      <c r="F62" s="29">
        <f t="shared" si="1"/>
        <v>63.88</v>
      </c>
      <c r="G62" s="3"/>
    </row>
    <row r="63" spans="2:7" ht="15" thickBot="1" x14ac:dyDescent="0.35">
      <c r="B63" s="1"/>
      <c r="C63" s="1" t="s">
        <v>49</v>
      </c>
      <c r="D63" s="4">
        <v>4.5</v>
      </c>
      <c r="E63" s="2">
        <v>52.75</v>
      </c>
      <c r="F63" s="30">
        <f t="shared" si="1"/>
        <v>237.38</v>
      </c>
      <c r="G63" s="3"/>
    </row>
    <row r="64" spans="2:7" ht="15" thickBot="1" x14ac:dyDescent="0.35">
      <c r="B64" s="1" t="s">
        <v>50</v>
      </c>
      <c r="C64" s="1"/>
      <c r="D64" s="2">
        <f>ROUND(SUM(D32:D63),5)</f>
        <v>152.36000000000001</v>
      </c>
      <c r="E64" s="2"/>
      <c r="F64" s="29">
        <f>ROUND(SUM(F32:F63),5)</f>
        <v>9508.1</v>
      </c>
      <c r="G64" s="3"/>
    </row>
    <row r="65" spans="1:6" ht="15" thickBot="1" x14ac:dyDescent="0.35">
      <c r="A65" s="1" t="s">
        <v>56</v>
      </c>
      <c r="D65" s="13">
        <f>ROUND(D31+D64,5)</f>
        <v>365.19</v>
      </c>
      <c r="E65" s="2"/>
      <c r="F65" s="31">
        <f>ROUND(F31+F64,5)</f>
        <v>20281.18</v>
      </c>
    </row>
    <row r="66" spans="1:6" ht="15" thickTop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42FBE-318E-4772-BE7E-167DC931A4B1}">
  <dimension ref="A1:J17"/>
  <sheetViews>
    <sheetView workbookViewId="0">
      <selection activeCell="E28" sqref="E28"/>
    </sheetView>
  </sheetViews>
  <sheetFormatPr defaultRowHeight="14.4" x14ac:dyDescent="0.3"/>
  <cols>
    <col min="1" max="2" width="3" customWidth="1"/>
    <col min="3" max="3" width="5.21875" customWidth="1"/>
    <col min="4" max="4" width="13.88671875" bestFit="1" customWidth="1"/>
    <col min="5" max="5" width="8.44140625" bestFit="1" customWidth="1"/>
    <col min="6" max="6" width="23.33203125" bestFit="1" customWidth="1"/>
    <col min="7" max="7" width="49.88671875" bestFit="1" customWidth="1"/>
    <col min="8" max="8" width="16.33203125" bestFit="1" customWidth="1"/>
    <col min="9" max="9" width="8.77734375" style="14" bestFit="1" customWidth="1"/>
  </cols>
  <sheetData>
    <row r="1" spans="1:10" s="9" customFormat="1" ht="15" thickBot="1" x14ac:dyDescent="0.35">
      <c r="A1" s="28"/>
      <c r="B1" s="28"/>
      <c r="C1" s="28"/>
      <c r="D1" s="27" t="s">
        <v>87</v>
      </c>
      <c r="E1" s="27" t="s">
        <v>86</v>
      </c>
      <c r="F1" s="27" t="s">
        <v>85</v>
      </c>
      <c r="G1" s="27" t="s">
        <v>84</v>
      </c>
      <c r="H1" s="27" t="s">
        <v>83</v>
      </c>
      <c r="I1" s="26" t="s">
        <v>82</v>
      </c>
    </row>
    <row r="2" spans="1:10" ht="15" thickTop="1" x14ac:dyDescent="0.3">
      <c r="A2" s="17"/>
      <c r="B2" s="17" t="s">
        <v>81</v>
      </c>
      <c r="C2" s="17"/>
      <c r="D2" s="17"/>
      <c r="E2" s="18"/>
      <c r="F2" s="17"/>
      <c r="G2" s="17"/>
      <c r="H2" s="17"/>
      <c r="I2" s="24"/>
    </row>
    <row r="3" spans="1:10" x14ac:dyDescent="0.3">
      <c r="A3" s="17"/>
      <c r="B3" s="17"/>
      <c r="C3" s="17" t="s">
        <v>80</v>
      </c>
      <c r="D3" s="17"/>
      <c r="E3" s="18"/>
      <c r="F3" s="17"/>
      <c r="G3" s="17"/>
      <c r="H3" s="17"/>
      <c r="I3" s="24"/>
    </row>
    <row r="4" spans="1:10" x14ac:dyDescent="0.3">
      <c r="A4" s="20"/>
      <c r="B4" s="20"/>
      <c r="C4" s="20"/>
      <c r="D4" s="20" t="s">
        <v>69</v>
      </c>
      <c r="E4" s="21">
        <v>46235</v>
      </c>
      <c r="F4" s="20" t="s">
        <v>68</v>
      </c>
      <c r="G4" s="20" t="s">
        <v>79</v>
      </c>
      <c r="H4" s="20" t="s">
        <v>66</v>
      </c>
      <c r="I4" s="23">
        <v>1614.0880000000002</v>
      </c>
    </row>
    <row r="5" spans="1:10" x14ac:dyDescent="0.3">
      <c r="A5" s="20"/>
      <c r="B5" s="20"/>
      <c r="C5" s="20"/>
      <c r="D5" s="20" t="s">
        <v>62</v>
      </c>
      <c r="E5" s="21">
        <v>46265</v>
      </c>
      <c r="F5" s="20" t="s">
        <v>78</v>
      </c>
      <c r="G5" s="20" t="s">
        <v>77</v>
      </c>
      <c r="H5" s="20" t="s">
        <v>72</v>
      </c>
      <c r="I5" s="23">
        <v>103.65600000000001</v>
      </c>
      <c r="J5" s="23"/>
    </row>
    <row r="6" spans="1:10" x14ac:dyDescent="0.3">
      <c r="A6" s="20"/>
      <c r="B6" s="20"/>
      <c r="C6" s="20"/>
      <c r="D6" s="20" t="s">
        <v>62</v>
      </c>
      <c r="E6" s="21">
        <v>46265</v>
      </c>
      <c r="F6" s="20" t="s">
        <v>76</v>
      </c>
      <c r="G6" s="20" t="s">
        <v>75</v>
      </c>
      <c r="H6" s="20" t="s">
        <v>72</v>
      </c>
      <c r="I6" s="23">
        <v>878.5168000000001</v>
      </c>
    </row>
    <row r="7" spans="1:10" x14ac:dyDescent="0.3">
      <c r="A7" s="20"/>
      <c r="B7" s="20"/>
      <c r="C7" s="20"/>
      <c r="D7" s="20" t="s">
        <v>62</v>
      </c>
      <c r="E7" s="21">
        <v>46265</v>
      </c>
      <c r="F7" s="20" t="s">
        <v>74</v>
      </c>
      <c r="G7" s="20" t="s">
        <v>73</v>
      </c>
      <c r="H7" s="20" t="s">
        <v>72</v>
      </c>
      <c r="I7" s="23">
        <v>82.790400000000005</v>
      </c>
    </row>
    <row r="8" spans="1:10" ht="15" thickBot="1" x14ac:dyDescent="0.35">
      <c r="A8" s="20"/>
      <c r="B8" s="20"/>
      <c r="C8" s="20"/>
      <c r="D8" s="20" t="s">
        <v>62</v>
      </c>
      <c r="E8" s="21">
        <v>46265</v>
      </c>
      <c r="F8" s="20" t="s">
        <v>61</v>
      </c>
      <c r="G8" s="20" t="s">
        <v>60</v>
      </c>
      <c r="H8" s="20" t="s">
        <v>59</v>
      </c>
      <c r="I8" s="25">
        <v>119.97440000000002</v>
      </c>
    </row>
    <row r="9" spans="1:10" x14ac:dyDescent="0.3">
      <c r="A9" s="20"/>
      <c r="B9" s="20"/>
      <c r="C9" s="20" t="s">
        <v>71</v>
      </c>
      <c r="D9" s="20"/>
      <c r="E9" s="21"/>
      <c r="F9" s="20"/>
      <c r="G9" s="20"/>
      <c r="H9" s="20"/>
      <c r="I9" s="23">
        <f>ROUND(SUM(I3:I8),5)</f>
        <v>2799.0255999999999</v>
      </c>
    </row>
    <row r="10" spans="1:10" x14ac:dyDescent="0.3">
      <c r="A10" s="17"/>
      <c r="B10" s="17"/>
      <c r="C10" s="17" t="s">
        <v>70</v>
      </c>
      <c r="D10" s="17"/>
      <c r="E10" s="18"/>
      <c r="F10" s="17"/>
      <c r="G10" s="17"/>
      <c r="H10" s="17"/>
      <c r="I10" s="24"/>
    </row>
    <row r="11" spans="1:10" x14ac:dyDescent="0.3">
      <c r="A11" s="20"/>
      <c r="B11" s="20"/>
      <c r="C11" s="20"/>
      <c r="D11" s="20" t="s">
        <v>69</v>
      </c>
      <c r="E11" s="21">
        <v>46235</v>
      </c>
      <c r="F11" s="20" t="s">
        <v>68</v>
      </c>
      <c r="G11" s="20" t="s">
        <v>67</v>
      </c>
      <c r="H11" s="20" t="s">
        <v>66</v>
      </c>
      <c r="I11" s="23">
        <v>2322.712</v>
      </c>
    </row>
    <row r="12" spans="1:10" x14ac:dyDescent="0.3">
      <c r="A12" s="20"/>
      <c r="B12" s="20"/>
      <c r="C12" s="20"/>
      <c r="D12" s="20" t="s">
        <v>62</v>
      </c>
      <c r="E12" s="21">
        <v>46259</v>
      </c>
      <c r="F12" s="20" t="s">
        <v>65</v>
      </c>
      <c r="G12" s="20" t="s">
        <v>64</v>
      </c>
      <c r="H12" s="20" t="s">
        <v>63</v>
      </c>
      <c r="I12" s="23">
        <v>349.44000000000005</v>
      </c>
    </row>
    <row r="13" spans="1:10" ht="15" thickBot="1" x14ac:dyDescent="0.35">
      <c r="A13" s="20"/>
      <c r="B13" s="20"/>
      <c r="C13" s="20"/>
      <c r="D13" s="20" t="s">
        <v>62</v>
      </c>
      <c r="E13" s="21">
        <v>46265</v>
      </c>
      <c r="F13" s="20" t="s">
        <v>61</v>
      </c>
      <c r="G13" s="20" t="s">
        <v>60</v>
      </c>
      <c r="H13" s="20" t="s">
        <v>59</v>
      </c>
      <c r="I13" s="22">
        <v>59.987200000000009</v>
      </c>
    </row>
    <row r="14" spans="1:10" ht="15" thickBot="1" x14ac:dyDescent="0.35">
      <c r="A14" s="20"/>
      <c r="B14" s="20"/>
      <c r="C14" s="20" t="s">
        <v>58</v>
      </c>
      <c r="D14" s="20"/>
      <c r="E14" s="21"/>
      <c r="F14" s="20"/>
      <c r="G14" s="20"/>
      <c r="H14" s="20"/>
      <c r="I14" s="19">
        <f>ROUND(SUM(I10:I13),5)</f>
        <v>2732.1392000000001</v>
      </c>
    </row>
    <row r="15" spans="1:10" ht="15" thickBot="1" x14ac:dyDescent="0.35">
      <c r="A15" s="20"/>
      <c r="B15" s="20" t="s">
        <v>57</v>
      </c>
      <c r="C15" s="20"/>
      <c r="D15" s="20"/>
      <c r="E15" s="21"/>
      <c r="F15" s="20"/>
      <c r="G15" s="20"/>
      <c r="H15" s="20"/>
      <c r="I15" s="19">
        <f>ROUND(I9+I14,5)</f>
        <v>5531.1647999999996</v>
      </c>
    </row>
    <row r="16" spans="1:10" s="15" customFormat="1" ht="10.8" thickBot="1" x14ac:dyDescent="0.25">
      <c r="A16" s="17" t="s">
        <v>56</v>
      </c>
      <c r="B16" s="17"/>
      <c r="C16" s="17"/>
      <c r="D16" s="17"/>
      <c r="E16" s="18"/>
      <c r="F16" s="17"/>
      <c r="G16" s="17"/>
      <c r="H16" s="17"/>
      <c r="I16" s="16">
        <f>I15</f>
        <v>5531.1647999999996</v>
      </c>
    </row>
    <row r="17" ht="15" thickTop="1" x14ac:dyDescent="0.3"/>
  </sheetData>
  <pageMargins left="0.7" right="0.7" top="0.75" bottom="0.75" header="0.1" footer="0.3"/>
  <pageSetup orientation="portrait" verticalDpi="0" r:id="rId1"/>
  <headerFooter>
    <oddHeader>&amp;C&amp;"Arial,Bold"&amp;12 Silverado Farming Company, Inc.
&amp;"Arial,Bold"&amp;14 Unbilled Costs by Job
&amp;"Arial,Bold"&amp;10 August 2026</oddHeader>
    <oddFooter>&amp;R&amp;"Arial,Bold"&amp;8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Labor</vt:lpstr>
      <vt:lpstr>Expenses</vt:lpstr>
      <vt:lpstr>Expenses!Print_Titles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Ochoa</dc:creator>
  <cp:lastModifiedBy>Luis Ochoa</cp:lastModifiedBy>
  <dcterms:created xsi:type="dcterms:W3CDTF">2026-09-04T16:53:37Z</dcterms:created>
  <dcterms:modified xsi:type="dcterms:W3CDTF">2026-09-04T17:59:38Z</dcterms:modified>
</cp:coreProperties>
</file>